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27657a050bdca2/data project/"/>
    </mc:Choice>
  </mc:AlternateContent>
  <xr:revisionPtr revIDLastSave="151" documentId="8_{BFCDAA37-D0F7-48D2-A5AE-687BA4ABEEC8}" xr6:coauthVersionLast="47" xr6:coauthVersionMax="47" xr10:uidLastSave="{36DA36BB-39A4-478E-971B-0F84EA51AA5E}"/>
  <bookViews>
    <workbookView xWindow="-108" yWindow="-108" windowWidth="23256" windowHeight="12456" activeTab="1" xr2:uid="{146425F9-DFE3-4BEB-8920-0AD771208DDA}"/>
  </bookViews>
  <sheets>
    <sheet name="Students" sheetId="1" r:id="rId1"/>
    <sheet name="Studence_performnace" sheetId="4" r:id="rId2"/>
    <sheet name="COllege" sheetId="5" r:id="rId3"/>
    <sheet name="Sheet1" sheetId="6" r:id="rId4"/>
  </sheets>
  <definedNames>
    <definedName name="_xlnm.Print_Area" localSheetId="1">Studence_performnace!$B$1:$P$51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D12" i="4"/>
  <c r="D14" i="4"/>
  <c r="D16" i="4"/>
  <c r="D24" i="4"/>
  <c r="D26" i="4"/>
  <c r="C35" i="4"/>
  <c r="C36" i="4"/>
  <c r="C37" i="4"/>
  <c r="C43" i="4"/>
  <c r="C45" i="4"/>
  <c r="A7" i="5"/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4" i="1"/>
  <c r="B122" i="4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4" i="1"/>
  <c r="D28" i="4" s="1"/>
  <c r="B123" i="4" s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4" i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4" i="1"/>
  <c r="M26" i="1" l="1"/>
  <c r="M14" i="1"/>
  <c r="M19" i="1"/>
  <c r="M13" i="1"/>
  <c r="M25" i="1"/>
  <c r="M7" i="1"/>
  <c r="M12" i="1"/>
  <c r="M11" i="1"/>
  <c r="M22" i="1"/>
  <c r="M10" i="1"/>
  <c r="L4" i="1"/>
  <c r="C39" i="4" s="1"/>
  <c r="C38" i="4"/>
  <c r="D30" i="4"/>
  <c r="I7" i="5"/>
  <c r="M21" i="1"/>
  <c r="M9" i="1"/>
  <c r="M23" i="1"/>
  <c r="M20" i="1"/>
  <c r="M30" i="1"/>
  <c r="M18" i="1"/>
  <c r="M6" i="1"/>
  <c r="M24" i="1"/>
  <c r="M8" i="1"/>
  <c r="M29" i="1"/>
  <c r="M17" i="1"/>
  <c r="M5" i="1"/>
  <c r="E7" i="5"/>
  <c r="C47" i="4"/>
  <c r="K17" i="4" s="1"/>
  <c r="M28" i="1"/>
  <c r="M16" i="1"/>
  <c r="M4" i="1"/>
  <c r="M27" i="1"/>
  <c r="M15" i="1"/>
  <c r="L7" i="5" l="1"/>
  <c r="K14" i="4"/>
  <c r="K15" i="4"/>
  <c r="H8" i="4"/>
</calcChain>
</file>

<file path=xl/sharedStrings.xml><?xml version="1.0" encoding="utf-8"?>
<sst xmlns="http://schemas.openxmlformats.org/spreadsheetml/2006/main" count="254" uniqueCount="185">
  <si>
    <t xml:space="preserve">CSC- 2nd Year </t>
  </si>
  <si>
    <t>ROLL_NO</t>
  </si>
  <si>
    <t>STUDENT_NAME</t>
  </si>
  <si>
    <t>SECTION</t>
  </si>
  <si>
    <t>TOTAL_CLASSES</t>
  </si>
  <si>
    <t xml:space="preserve">ATTENDED _CLASSES </t>
  </si>
  <si>
    <t>SEM _1  %</t>
  </si>
  <si>
    <t>SEM-2 %</t>
  </si>
  <si>
    <t>SEM-3 %</t>
  </si>
  <si>
    <t>AVERAGE %</t>
  </si>
  <si>
    <t>PERFORMANCE</t>
  </si>
  <si>
    <t>TOTAL_FEES</t>
  </si>
  <si>
    <t>PAID</t>
  </si>
  <si>
    <t>DUE</t>
  </si>
  <si>
    <t>Aadhya</t>
  </si>
  <si>
    <t>Aadvik</t>
  </si>
  <si>
    <t>Abhinav</t>
  </si>
  <si>
    <t>Aditi</t>
  </si>
  <si>
    <t>Advait</t>
  </si>
  <si>
    <t>Akshara</t>
  </si>
  <si>
    <t>Amara</t>
  </si>
  <si>
    <t>Ananya</t>
  </si>
  <si>
    <t>Anvitha</t>
  </si>
  <si>
    <t>Arjun</t>
  </si>
  <si>
    <t>Avyan</t>
  </si>
  <si>
    <t>Bheem</t>
  </si>
  <si>
    <t>Chakri</t>
  </si>
  <si>
    <t>Chinmayi</t>
  </si>
  <si>
    <t>Deepak</t>
  </si>
  <si>
    <t>Diya</t>
  </si>
  <si>
    <t>Ishaan</t>
  </si>
  <si>
    <t>Karthik</t>
  </si>
  <si>
    <t>Kavya</t>
  </si>
  <si>
    <t>Laya</t>
  </si>
  <si>
    <t>Narsimha</t>
  </si>
  <si>
    <t>Pranav</t>
  </si>
  <si>
    <t>Prisha</t>
  </si>
  <si>
    <t>Saanvi</t>
  </si>
  <si>
    <t>Tanish</t>
  </si>
  <si>
    <t>Tanvi</t>
  </si>
  <si>
    <t>Vihaan</t>
  </si>
  <si>
    <t>CSC-(A)</t>
  </si>
  <si>
    <t>CSC-(B)</t>
  </si>
  <si>
    <t>srinathavc@gmail.com</t>
  </si>
  <si>
    <t>sidduv250@gmail.com</t>
  </si>
  <si>
    <t>studygram771@gmail.com</t>
  </si>
  <si>
    <t>aadhya.csc2401@gmail.com</t>
  </si>
  <si>
    <t>aadvik.csc2402@gmail.com</t>
  </si>
  <si>
    <t>abhinav.csc2403@gmail.com</t>
  </si>
  <si>
    <t>aditi.csc2404@gmail.com</t>
  </si>
  <si>
    <t>advait.csc2405@gmail.com</t>
  </si>
  <si>
    <t>akshara.csc2406@gmail.com</t>
  </si>
  <si>
    <t>amara.csc2407@gmail.com</t>
  </si>
  <si>
    <t>ananya.csc2408@gmail.com</t>
  </si>
  <si>
    <t>anvitha.csc2409@gmail.com</t>
  </si>
  <si>
    <t>arjun.csc2410@gmail.com</t>
  </si>
  <si>
    <t>avyan.csc2411@gmail.com</t>
  </si>
  <si>
    <t>bheem.csc2412@gmail.com</t>
  </si>
  <si>
    <t>chakri.csc2413@gmail.com</t>
  </si>
  <si>
    <t>chinmayi.csc2414@gmail.com</t>
  </si>
  <si>
    <t>deepak.csc2415@gmail.com</t>
  </si>
  <si>
    <t>diya.csc2416@gmail.com</t>
  </si>
  <si>
    <t>ishaan.csc2417@gmail.com</t>
  </si>
  <si>
    <t>karthik.csc2418@gmail.com</t>
  </si>
  <si>
    <t>kavya.csc2419@gmail.com</t>
  </si>
  <si>
    <t>laya.csc2420@gmail.com</t>
  </si>
  <si>
    <t>pranav.csc2422@gmail.com</t>
  </si>
  <si>
    <t>prisha.csc2423@gmail.com</t>
  </si>
  <si>
    <t>saanvi.csc2424@gmail.com</t>
  </si>
  <si>
    <t xml:space="preserve"> RISK_PREDICTION</t>
  </si>
  <si>
    <t>Student_Performance</t>
  </si>
  <si>
    <t>personanl_details</t>
  </si>
  <si>
    <t>Student_name</t>
  </si>
  <si>
    <t>stduent Id</t>
  </si>
  <si>
    <t>class/section</t>
  </si>
  <si>
    <t>absent</t>
  </si>
  <si>
    <t>SEMESTER MARKS</t>
  </si>
  <si>
    <t>Semester 1 %:</t>
  </si>
  <si>
    <t>Semester 2 %:</t>
  </si>
  <si>
    <t>Semester 3 %:</t>
  </si>
  <si>
    <t>Average %:</t>
  </si>
  <si>
    <t>Performance:</t>
  </si>
  <si>
    <t>attednece</t>
  </si>
  <si>
    <t>risk alert</t>
  </si>
  <si>
    <t>Attendance:</t>
  </si>
  <si>
    <t>Academic:</t>
  </si>
  <si>
    <t>Fee Status:</t>
  </si>
  <si>
    <t>FEES DETAILS</t>
  </si>
  <si>
    <t>Total Fees:</t>
  </si>
  <si>
    <t>Fees Paid:</t>
  </si>
  <si>
    <t>Fees Due:</t>
  </si>
  <si>
    <t>EMAIL</t>
  </si>
  <si>
    <t>ATTENDENCE_PER</t>
  </si>
  <si>
    <t>NOT_ATTENDED_CLASSES</t>
  </si>
  <si>
    <t>vsiddu200@gmail.com</t>
  </si>
  <si>
    <t>QUICK_STATUS</t>
  </si>
  <si>
    <t>ATTENDENCE_DETAILS</t>
  </si>
  <si>
    <t>Total_classes</t>
  </si>
  <si>
    <t>Attended</t>
  </si>
  <si>
    <t>Absent</t>
  </si>
  <si>
    <t>Percentage</t>
  </si>
  <si>
    <t>"An investing in knowledge pays best interest"</t>
  </si>
  <si>
    <t>STUDENT_PERFOMACE 360</t>
  </si>
  <si>
    <t>TOTAL_STUDENTS</t>
  </si>
  <si>
    <t>TOTAL_FEE_DUE</t>
  </si>
  <si>
    <t>AVG_ATTENDENCE</t>
  </si>
  <si>
    <t>AT_RISK_STUDENTS</t>
  </si>
  <si>
    <t xml:space="preserve">Top 5 </t>
  </si>
  <si>
    <t>marks</t>
  </si>
  <si>
    <t>Attendence</t>
  </si>
  <si>
    <t>Name</t>
  </si>
  <si>
    <t>Avg %</t>
  </si>
  <si>
    <t>Attedence%</t>
  </si>
  <si>
    <t>whatappno</t>
  </si>
  <si>
    <t>DASHBOARD_LINK</t>
  </si>
  <si>
    <t>https://1drv.ms/f/c/2427657a050bdca2/IgBLPgDflObYTbUSVLce_DB3ATxdBcJYOpECBubr2h0hP8E</t>
  </si>
  <si>
    <t>https://1drv.ms/f/c/2427657a050bdca2/IgAYZZYYIa4zRLnQ4KyR5Q_1AeyfgvLUAwgG4QuciGPZl-I</t>
  </si>
  <si>
    <t>https://1drv.ms/f/c/2427657a050bdca2/IgDfyeiYspqSTqz_dy37cizhAVsNceRCik15BMp8cY4cN80</t>
  </si>
  <si>
    <t>https://1drv.ms/f/c/2427657a050bdca2/IgD35RD8XL-sSKF-vxcQLGfvAbHGHvjhORVY29MxkXykxqw</t>
  </si>
  <si>
    <t>https://1drv.ms/f/c/2427657a050bdca2/IgCFlaV6iZj_SJlEjP2Po6hTAZ1OlpbeeEHK-W2zcJbew9c</t>
  </si>
  <si>
    <t>https://1drv.ms/f/c/2427657a050bdca2/IgDRYNFbxXZrS5eG6LohSch1AfnhC1EYNWx0juG64vALWSA</t>
  </si>
  <si>
    <t>https://1drv.ms/f/c/2427657a050bdca2/IgCEsCBw_rR-So15ob0rqHm6AQhWixmpqV7qbN8HvySVRm0</t>
  </si>
  <si>
    <t>https://1drv.ms/f/c/2427657a050bdca2/IgDXqBBiJjOOS5KIl-z0blvsAZ7w7l7G_EHQKNp81Skv2Ek</t>
  </si>
  <si>
    <t>https://1drv.ms/f/c/2427657a050bdca2/IgA3nTPw2-mqT4lz0g61G0UnAYeg3fsm7R8_XVFKZZCK9Iw</t>
  </si>
  <si>
    <t>https://1drv.ms/f/c/2427657a050bdca2/IgB9vB5TjRRMSZWcO5sct2TFAaHaVjIJJtX_noKM5bHz0-c</t>
  </si>
  <si>
    <t>https://1drv.ms/f/c/2427657a050bdca2/IgDAoHxsIAJbQLPY_4CJyaaJAWQckPfYbEIQmBMDk3aOU_4</t>
  </si>
  <si>
    <t>https://1drv.ms/f/c/2427657a050bdca2/IgBQgvv0V7WcR79IC301_YAtAcq8I7gF_kOPahxgLLCwdjg</t>
  </si>
  <si>
    <t>https://1drv.ms/f/c/2427657a050bdca2/IgDwloboqEvQTbpUGiALZIcMASjVHBidi2xG3yQuCENRDfE</t>
  </si>
  <si>
    <t>https://1drv.ms/f/c/2427657a050bdca2/IgBXGSXEvMO7T7hC-6XmyEnNAVOXPI3bFjePlKOJpdRjF3k</t>
  </si>
  <si>
    <t>https://1drv.ms/f/c/2427657a050bdca2/IgARexLovFxzRJNH03QfRkquAZrmupAvZaEF1wsVQDCe3aU</t>
  </si>
  <si>
    <t>https://1drv.ms/f/c/2427657a050bdca2/IgCSl8-P2WLpRpgwTimH2xFgAbRvn2Js5t8nuLBVY7k9U3I</t>
  </si>
  <si>
    <t>https://1drv.ms/f/c/2427657a050bdca2/IgC1Gu0KpAvwRpmlcT3HuKBUAaxWfc45y_d7ZjUu_AWYZog</t>
  </si>
  <si>
    <t>https://1drv.ms/f/c/2427657a050bdca2/IgBaIjE3rirmTarrpzoNsXTAAVikCpmWvFjEfg3ks4R1UZ4</t>
  </si>
  <si>
    <t>https://1drv.ms/f/c/2427657a050bdca2/IgDu3JLqc6otQ54JArCjI_oFAQRESThdrDwXmw-MvAkv0LY</t>
  </si>
  <si>
    <t>https://1drv.ms/f/c/2427657a050bdca2/IgCSH-AGodiQTIxw4qyuQb9AASWv-9W7z8KpCIDH3-d8Iwo</t>
  </si>
  <si>
    <t>https://1drv.ms/f/c/2427657a050bdca2/IgCZLN5ZCYDkS5GZv1EhTSA6AfdFceLPhTe3sDuPlY3fa5s</t>
  </si>
  <si>
    <t>https://1drv.ms/f/c/2427657a050bdca2/IgC3XgQcqU7TTq8Ava4Qu6NtAT6sV3lirgEPOWtWpLdZPVU</t>
  </si>
  <si>
    <t>https://1drv.ms/f/c/2427657a050bdca2/IgAa5rGDAJ-cRqwltJUi_wLxAaaFek7muFQfjzi8UeO_ERo</t>
  </si>
  <si>
    <t>https://1drv.ms/f/c/2427657a050bdca2/IgDLsQAspQBORYh_dt599y8FAcPXQof64Mkj_Uddk7IyR_M</t>
  </si>
  <si>
    <t>https://1drv.ms/f/c/2427657a050bdca2/IgDXATQO8slFSqfdfCpyEB7dAbU3BrPO5FIuqfUgrBOtm4o</t>
  </si>
  <si>
    <t>https://1drv.ms/f/c/2427657a050bdca2/IgCv1d-eJXnMSZY92xXLeuAeAaPo6Id55OVxLdpCL64fa6I</t>
  </si>
  <si>
    <t>91 8328548601</t>
  </si>
  <si>
    <t>91 9441030170</t>
  </si>
  <si>
    <t>91 8886372907</t>
  </si>
  <si>
    <t>91 9090462205</t>
  </si>
  <si>
    <t>91 9177499951</t>
  </si>
  <si>
    <t>91  8019777273</t>
  </si>
  <si>
    <t>91 7799113821</t>
  </si>
  <si>
    <t>91 9281041838</t>
  </si>
  <si>
    <t>STUDENTS_PROBLEM REPORT</t>
  </si>
  <si>
    <t>Csc- a</t>
  </si>
  <si>
    <t>Yes</t>
  </si>
  <si>
    <t>Please change the faculty maths , I am not getting clear subject</t>
  </si>
  <si>
    <t>Faculty Related</t>
  </si>
  <si>
    <t>CSE-A section</t>
  </si>
  <si>
    <t>gkistaiah81858@gmail.com</t>
  </si>
  <si>
    <t>board is broken</t>
  </si>
  <si>
    <t>Infratructure</t>
  </si>
  <si>
    <t>Srinath</t>
  </si>
  <si>
    <t>Computer science</t>
  </si>
  <si>
    <t>Change the IT</t>
  </si>
  <si>
    <t>Pavan</t>
  </si>
  <si>
    <t>Ece</t>
  </si>
  <si>
    <t>No</t>
  </si>
  <si>
    <t>sg2240954@gmail.com</t>
  </si>
  <si>
    <t>Csc- b</t>
  </si>
  <si>
    <t>No place in vehicle</t>
  </si>
  <si>
    <t>Transport</t>
  </si>
  <si>
    <t>PROBLEM_STATEMENT_REPORT</t>
  </si>
  <si>
    <t>DATE</t>
  </si>
  <si>
    <t>NAME</t>
  </si>
  <si>
    <t>Roll_NO</t>
  </si>
  <si>
    <t>CLASS</t>
  </si>
  <si>
    <t>INFRASTRUCFTURE</t>
  </si>
  <si>
    <t>ISSUE STATUS</t>
  </si>
  <si>
    <t>GMAIL</t>
  </si>
  <si>
    <t>PROBLEM</t>
  </si>
  <si>
    <t>CATRGORY</t>
  </si>
  <si>
    <t>URGENCY LEVEL</t>
  </si>
  <si>
    <t>STATUS</t>
  </si>
  <si>
    <t>SOLVED</t>
  </si>
  <si>
    <t>PENDING</t>
  </si>
  <si>
    <t>PESOLVED</t>
  </si>
  <si>
    <t>warden mam</t>
  </si>
  <si>
    <t>hostel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</si>
</sst>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\₹#,##0"/>
    <numFmt numFmtId="166" formatCode="_ [$₹-4009]\ * #,##0.00_ ;_ [$₹-4009]\ * \-#,##0.00_ ;_ [$₹-4009]\ * &quot;-&quot;??_ ;_ @_ 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3"/>
      <color rgb="FFFFFFFF"/>
      <name val="Calibri"/>
      <family val="2"/>
    </font>
    <font>
      <b/>
      <sz val="11"/>
      <color rgb="FF333333"/>
      <name val="Calibri"/>
      <family val="2"/>
    </font>
    <font>
      <b/>
      <sz val="12"/>
      <color rgb="FF0070C0"/>
      <name val="Calibri"/>
      <family val="2"/>
    </font>
    <font>
      <sz val="20"/>
      <color theme="1"/>
      <name val="Aptos Narrow"/>
      <family val="2"/>
      <scheme val="minor"/>
    </font>
    <font>
      <sz val="20"/>
      <color rgb="FFFFFF00"/>
      <name val="Aptos Narrow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color rgb="FFFFFFFF"/>
      <name val="Calibri"/>
      <family val="2"/>
    </font>
    <font>
      <sz val="22"/>
      <color rgb="FF0070C0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36"/>
      <color theme="0"/>
      <name val="Aptos Narrow"/>
      <family val="2"/>
      <scheme val="minor"/>
    </font>
    <font>
      <sz val="10"/>
      <color theme="1"/>
      <name val="Arial"/>
      <family val="2"/>
    </font>
    <font>
      <sz val="10"/>
      <color rgb="FF434343"/>
      <name val="Roboto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rgb="FFC00000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indexed="64"/>
      </patternFill>
    </fill>
    <fill>
      <patternFill patternType="solid">
        <fgColor rgb="FF44546A"/>
        <bgColor rgb="FF44546A"/>
      </patternFill>
    </fill>
    <fill>
      <patternFill patternType="solid">
        <fgColor rgb="FF7030A0"/>
        <bgColor rgb="FF7030A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07">
    <xf numFmtId="0" fontId="0" fillId="0" borderId="0" xfId="0"/>
    <xf numFmtId="0" fontId="3" fillId="0" borderId="0" xfId="2"/>
    <xf numFmtId="0" fontId="0" fillId="2" borderId="5" xfId="0" applyFill="1" applyBorder="1"/>
    <xf numFmtId="0" fontId="0" fillId="0" borderId="5" xfId="0" applyBorder="1"/>
    <xf numFmtId="9" fontId="0" fillId="0" borderId="5" xfId="0" applyNumberFormat="1" applyBorder="1"/>
    <xf numFmtId="164" fontId="0" fillId="0" borderId="5" xfId="0" applyNumberFormat="1" applyBorder="1"/>
    <xf numFmtId="3" fontId="0" fillId="0" borderId="5" xfId="0" applyNumberFormat="1" applyBorder="1"/>
    <xf numFmtId="0" fontId="3" fillId="0" borderId="5" xfId="2" applyBorder="1"/>
    <xf numFmtId="0" fontId="0" fillId="0" borderId="5" xfId="0" quotePrefix="1" applyBorder="1"/>
    <xf numFmtId="10" fontId="0" fillId="2" borderId="5" xfId="1" applyNumberFormat="1" applyFont="1" applyFill="1" applyBorder="1"/>
    <xf numFmtId="10" fontId="0" fillId="2" borderId="5" xfId="1" applyNumberFormat="1" applyFont="1" applyFill="1" applyBorder="1" applyAlignment="1">
      <alignment horizontal="center" vertical="center"/>
    </xf>
    <xf numFmtId="10" fontId="0" fillId="0" borderId="5" xfId="1" applyNumberFormat="1" applyFont="1" applyBorder="1"/>
    <xf numFmtId="10" fontId="0" fillId="0" borderId="5" xfId="1" applyNumberFormat="1" applyFont="1" applyBorder="1" applyAlignment="1">
      <alignment horizontal="center" vertical="center"/>
    </xf>
    <xf numFmtId="10" fontId="0" fillId="0" borderId="0" xfId="1" applyNumberFormat="1" applyFont="1"/>
    <xf numFmtId="10" fontId="0" fillId="0" borderId="0" xfId="1" applyNumberFormat="1" applyFont="1" applyAlignment="1">
      <alignment horizontal="center" vertical="center"/>
    </xf>
    <xf numFmtId="9" fontId="0" fillId="2" borderId="5" xfId="0" applyNumberFormat="1" applyFill="1" applyBorder="1"/>
    <xf numFmtId="9" fontId="0" fillId="0" borderId="0" xfId="0" applyNumberFormat="1"/>
    <xf numFmtId="0" fontId="9" fillId="6" borderId="5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165" fontId="10" fillId="7" borderId="5" xfId="0" applyNumberFormat="1" applyFont="1" applyFill="1" applyBorder="1" applyAlignment="1">
      <alignment horizontal="center" vertical="center"/>
    </xf>
    <xf numFmtId="0" fontId="2" fillId="0" borderId="0" xfId="0" applyFont="1"/>
    <xf numFmtId="0" fontId="4" fillId="11" borderId="0" xfId="0" applyFont="1" applyFill="1" applyAlignment="1">
      <alignment vertical="center"/>
    </xf>
    <xf numFmtId="165" fontId="10" fillId="7" borderId="5" xfId="0" applyNumberFormat="1" applyFont="1" applyFill="1" applyBorder="1" applyAlignment="1">
      <alignment vertical="center"/>
    </xf>
    <xf numFmtId="165" fontId="10" fillId="7" borderId="0" xfId="0" applyNumberFormat="1" applyFont="1" applyFill="1" applyAlignment="1">
      <alignment vertical="center"/>
    </xf>
    <xf numFmtId="0" fontId="4" fillId="0" borderId="8" xfId="0" applyFont="1" applyBorder="1" applyAlignment="1">
      <alignment vertical="center"/>
    </xf>
    <xf numFmtId="0" fontId="0" fillId="14" borderId="13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14" borderId="8" xfId="0" applyFill="1" applyBorder="1"/>
    <xf numFmtId="165" fontId="10" fillId="7" borderId="9" xfId="0" applyNumberFormat="1" applyFont="1" applyFill="1" applyBorder="1" applyAlignment="1">
      <alignment vertical="center"/>
    </xf>
    <xf numFmtId="0" fontId="0" fillId="0" borderId="18" xfId="0" applyBorder="1"/>
    <xf numFmtId="0" fontId="2" fillId="0" borderId="0" xfId="0" applyFont="1" applyAlignment="1">
      <alignment vertical="center"/>
    </xf>
    <xf numFmtId="0" fontId="0" fillId="0" borderId="33" xfId="0" applyBorder="1"/>
    <xf numFmtId="0" fontId="0" fillId="0" borderId="0" xfId="0" quotePrefix="1"/>
    <xf numFmtId="9" fontId="2" fillId="3" borderId="5" xfId="0" applyNumberFormat="1" applyFont="1" applyFill="1" applyBorder="1" applyAlignment="1">
      <alignment horizontal="center" vertical="center"/>
    </xf>
    <xf numFmtId="9" fontId="2" fillId="3" borderId="5" xfId="1" applyFont="1" applyFill="1" applyBorder="1" applyAlignment="1">
      <alignment horizontal="center" vertical="center"/>
    </xf>
    <xf numFmtId="9" fontId="2" fillId="3" borderId="17" xfId="0" applyNumberFormat="1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8" fillId="5" borderId="30" xfId="0" applyFont="1" applyFill="1" applyBorder="1" applyAlignment="1">
      <alignment horizontal="center" vertical="center"/>
    </xf>
    <xf numFmtId="0" fontId="8" fillId="5" borderId="31" xfId="0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center" vertical="center"/>
    </xf>
    <xf numFmtId="10" fontId="10" fillId="7" borderId="5" xfId="0" applyNumberFormat="1" applyFont="1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4" borderId="8" xfId="0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8" borderId="22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18" borderId="12" xfId="0" applyFill="1" applyBorder="1" applyAlignment="1">
      <alignment horizontal="center" vertical="center"/>
    </xf>
    <xf numFmtId="0" fontId="0" fillId="18" borderId="3" xfId="0" applyFill="1" applyBorder="1" applyAlignment="1">
      <alignment horizontal="center" vertical="center"/>
    </xf>
    <xf numFmtId="0" fontId="0" fillId="18" borderId="4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13" borderId="22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0" fontId="7" fillId="13" borderId="10" xfId="0" applyFont="1" applyFill="1" applyBorder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7" fillId="13" borderId="11" xfId="0" applyFont="1" applyFill="1" applyBorder="1" applyAlignment="1">
      <alignment horizontal="center" vertical="center"/>
    </xf>
    <xf numFmtId="0" fontId="7" fillId="13" borderId="12" xfId="0" applyFont="1" applyFill="1" applyBorder="1" applyAlignment="1">
      <alignment horizontal="center" vertical="center"/>
    </xf>
    <xf numFmtId="0" fontId="7" fillId="13" borderId="3" xfId="0" applyFont="1" applyFill="1" applyBorder="1" applyAlignment="1">
      <alignment horizontal="center" vertical="center"/>
    </xf>
    <xf numFmtId="0" fontId="7" fillId="13" borderId="4" xfId="0" applyFont="1" applyFill="1" applyBorder="1" applyAlignment="1">
      <alignment horizontal="center" vertical="center"/>
    </xf>
    <xf numFmtId="9" fontId="0" fillId="0" borderId="13" xfId="1" applyFont="1" applyBorder="1" applyAlignment="1">
      <alignment horizontal="center" vertical="center"/>
    </xf>
    <xf numFmtId="9" fontId="0" fillId="0" borderId="7" xfId="1" applyFont="1" applyBorder="1" applyAlignment="1">
      <alignment horizontal="center" vertical="center"/>
    </xf>
    <xf numFmtId="9" fontId="0" fillId="0" borderId="15" xfId="1" applyFont="1" applyBorder="1" applyAlignment="1">
      <alignment horizontal="center" vertical="center"/>
    </xf>
    <xf numFmtId="9" fontId="0" fillId="0" borderId="8" xfId="1" applyFont="1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9" fontId="0" fillId="0" borderId="18" xfId="1" applyFont="1" applyBorder="1" applyAlignment="1">
      <alignment horizontal="center" vertical="center"/>
    </xf>
    <xf numFmtId="0" fontId="7" fillId="12" borderId="22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7" fillId="12" borderId="10" xfId="0" applyFont="1" applyFill="1" applyBorder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7" fillId="12" borderId="11" xfId="0" applyFont="1" applyFill="1" applyBorder="1" applyAlignment="1">
      <alignment horizontal="center" vertical="center"/>
    </xf>
    <xf numFmtId="0" fontId="7" fillId="12" borderId="12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0" fontId="12" fillId="8" borderId="15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5" fillId="9" borderId="13" xfId="0" applyFont="1" applyFill="1" applyBorder="1" applyAlignment="1">
      <alignment horizontal="center" vertical="center"/>
    </xf>
    <xf numFmtId="0" fontId="15" fillId="9" borderId="7" xfId="0" applyFont="1" applyFill="1" applyBorder="1" applyAlignment="1">
      <alignment horizontal="center" vertical="center"/>
    </xf>
    <xf numFmtId="0" fontId="15" fillId="9" borderId="14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0" fillId="14" borderId="13" xfId="0" applyFill="1" applyBorder="1" applyAlignment="1">
      <alignment horizontal="center"/>
    </xf>
    <xf numFmtId="0" fontId="0" fillId="14" borderId="7" xfId="0" applyFill="1" applyBorder="1" applyAlignment="1">
      <alignment horizontal="center"/>
    </xf>
    <xf numFmtId="0" fontId="0" fillId="14" borderId="18" xfId="0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11" fillId="14" borderId="20" xfId="0" applyFont="1" applyFill="1" applyBorder="1" applyAlignment="1">
      <alignment horizontal="center" vertical="center"/>
    </xf>
    <xf numFmtId="0" fontId="11" fillId="14" borderId="22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0" fillId="14" borderId="10" xfId="0" applyFill="1" applyBorder="1" applyAlignment="1">
      <alignment horizontal="center" vertical="center"/>
    </xf>
    <xf numFmtId="0" fontId="0" fillId="14" borderId="11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9" fillId="6" borderId="26" xfId="0" applyFont="1" applyFill="1" applyBorder="1" applyAlignment="1">
      <alignment horizontal="center" vertical="center"/>
    </xf>
    <xf numFmtId="0" fontId="9" fillId="6" borderId="27" xfId="0" applyFont="1" applyFill="1" applyBorder="1" applyAlignment="1">
      <alignment horizontal="center" vertical="center"/>
    </xf>
    <xf numFmtId="0" fontId="9" fillId="6" borderId="28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 vertical="center"/>
    </xf>
    <xf numFmtId="165" fontId="10" fillId="7" borderId="7" xfId="0" applyNumberFormat="1" applyFont="1" applyFill="1" applyBorder="1" applyAlignment="1">
      <alignment horizontal="center" vertical="center"/>
    </xf>
    <xf numFmtId="165" fontId="10" fillId="7" borderId="15" xfId="0" applyNumberFormat="1" applyFont="1" applyFill="1" applyBorder="1" applyAlignment="1">
      <alignment horizontal="center" vertical="center"/>
    </xf>
    <xf numFmtId="165" fontId="10" fillId="7" borderId="6" xfId="0" applyNumberFormat="1" applyFont="1" applyFill="1" applyBorder="1" applyAlignment="1">
      <alignment horizontal="center" vertical="center"/>
    </xf>
    <xf numFmtId="165" fontId="10" fillId="7" borderId="16" xfId="0" applyNumberFormat="1" applyFont="1" applyFill="1" applyBorder="1" applyAlignment="1">
      <alignment horizontal="center" vertical="center"/>
    </xf>
    <xf numFmtId="165" fontId="10" fillId="7" borderId="0" xfId="0" applyNumberFormat="1" applyFont="1" applyFill="1" applyAlignment="1">
      <alignment horizontal="center" vertical="center"/>
    </xf>
    <xf numFmtId="165" fontId="10" fillId="7" borderId="18" xfId="0" applyNumberFormat="1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8" fillId="10" borderId="23" xfId="0" applyFont="1" applyFill="1" applyBorder="1" applyAlignment="1">
      <alignment horizontal="center" vertical="center"/>
    </xf>
    <xf numFmtId="0" fontId="8" fillId="10" borderId="24" xfId="0" applyFont="1" applyFill="1" applyBorder="1" applyAlignment="1">
      <alignment horizontal="center" vertical="center"/>
    </xf>
    <xf numFmtId="0" fontId="8" fillId="10" borderId="25" xfId="0" applyFont="1" applyFill="1" applyBorder="1" applyAlignment="1">
      <alignment horizontal="center" vertical="center"/>
    </xf>
    <xf numFmtId="0" fontId="6" fillId="17" borderId="13" xfId="0" applyFont="1" applyFill="1" applyBorder="1" applyAlignment="1">
      <alignment horizontal="center" vertical="center"/>
    </xf>
    <xf numFmtId="0" fontId="6" fillId="17" borderId="7" xfId="0" applyFont="1" applyFill="1" applyBorder="1" applyAlignment="1">
      <alignment horizontal="center" vertical="center"/>
    </xf>
    <xf numFmtId="0" fontId="6" fillId="17" borderId="8" xfId="0" applyFont="1" applyFill="1" applyBorder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0" fontId="6" fillId="17" borderId="14" xfId="0" applyFont="1" applyFill="1" applyBorder="1" applyAlignment="1">
      <alignment horizontal="center" vertical="center"/>
    </xf>
    <xf numFmtId="0" fontId="6" fillId="17" borderId="6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11" fillId="13" borderId="19" xfId="0" applyFont="1" applyFill="1" applyBorder="1" applyAlignment="1">
      <alignment horizontal="center" vertical="center"/>
    </xf>
    <xf numFmtId="0" fontId="11" fillId="13" borderId="5" xfId="0" applyFont="1" applyFill="1" applyBorder="1" applyAlignment="1">
      <alignment horizontal="center" vertical="center"/>
    </xf>
    <xf numFmtId="0" fontId="16" fillId="15" borderId="0" xfId="0" applyFont="1" applyFill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6" fontId="11" fillId="0" borderId="5" xfId="0" applyNumberFormat="1" applyFont="1" applyBorder="1" applyAlignment="1">
      <alignment horizontal="center" vertical="center"/>
    </xf>
    <xf numFmtId="0" fontId="0" fillId="16" borderId="5" xfId="0" applyFill="1" applyBorder="1" applyAlignment="1">
      <alignment horizontal="center" vertical="center"/>
    </xf>
    <xf numFmtId="9" fontId="2" fillId="0" borderId="5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7" fillId="13" borderId="19" xfId="0" applyFont="1" applyFill="1" applyBorder="1" applyAlignment="1">
      <alignment horizontal="center" vertical="center"/>
    </xf>
    <xf numFmtId="0" fontId="7" fillId="13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0" applyNumberFormat="1" applyBorder="1" applyAlignment="1">
      <alignment horizontal="center" vertical="center" wrapText="1"/>
    </xf>
    <xf numFmtId="0" fontId="0" fillId="0" borderId="0" xfId="0" applyBorder="1"/>
    <xf numFmtId="0" fontId="5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14" fillId="0" borderId="0" xfId="0" applyFont="1" applyBorder="1"/>
    <xf numFmtId="0" fontId="4" fillId="0" borderId="0" xfId="0" applyFont="1" applyFill="1" applyBorder="1" applyAlignment="1">
      <alignment vertical="center"/>
    </xf>
    <xf numFmtId="0" fontId="0" fillId="0" borderId="0" xfId="0" applyFill="1" applyBorder="1"/>
    <xf numFmtId="0" fontId="0" fillId="11" borderId="0" xfId="0" applyFill="1"/>
    <xf numFmtId="0" fontId="0" fillId="11" borderId="8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19" fillId="19" borderId="22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19" fillId="19" borderId="2" xfId="0" applyFont="1" applyFill="1" applyBorder="1" applyAlignment="1">
      <alignment horizontal="center" vertical="center"/>
    </xf>
    <xf numFmtId="0" fontId="19" fillId="19" borderId="10" xfId="0" applyFont="1" applyFill="1" applyBorder="1" applyAlignment="1">
      <alignment horizontal="center" vertical="center"/>
    </xf>
    <xf numFmtId="0" fontId="19" fillId="19" borderId="0" xfId="0" applyFont="1" applyFill="1" applyBorder="1" applyAlignment="1">
      <alignment horizontal="center" vertical="center"/>
    </xf>
    <xf numFmtId="0" fontId="19" fillId="19" borderId="11" xfId="0" applyFont="1" applyFill="1" applyBorder="1" applyAlignment="1">
      <alignment horizontal="center" vertical="center"/>
    </xf>
    <xf numFmtId="0" fontId="19" fillId="19" borderId="12" xfId="0" applyFont="1" applyFill="1" applyBorder="1" applyAlignment="1">
      <alignment horizontal="center" vertical="center"/>
    </xf>
    <xf numFmtId="0" fontId="19" fillId="19" borderId="3" xfId="0" applyFont="1" applyFill="1" applyBorder="1" applyAlignment="1">
      <alignment horizontal="center" vertical="center"/>
    </xf>
    <xf numFmtId="0" fontId="19" fillId="19" borderId="4" xfId="0" applyFont="1" applyFill="1" applyBorder="1" applyAlignment="1">
      <alignment horizontal="center" vertical="center"/>
    </xf>
    <xf numFmtId="22" fontId="21" fillId="20" borderId="5" xfId="0" applyNumberFormat="1" applyFont="1" applyFill="1" applyBorder="1" applyAlignment="1">
      <alignment horizontal="right" vertical="center" wrapText="1"/>
    </xf>
    <xf numFmtId="0" fontId="21" fillId="20" borderId="5" xfId="0" applyFont="1" applyFill="1" applyBorder="1" applyAlignment="1">
      <alignment vertical="center" wrapText="1"/>
    </xf>
    <xf numFmtId="0" fontId="21" fillId="20" borderId="5" xfId="0" applyFont="1" applyFill="1" applyBorder="1" applyAlignment="1">
      <alignment horizontal="right" vertical="center" wrapText="1"/>
    </xf>
    <xf numFmtId="22" fontId="21" fillId="21" borderId="5" xfId="0" applyNumberFormat="1" applyFont="1" applyFill="1" applyBorder="1" applyAlignment="1">
      <alignment horizontal="right" vertical="center" wrapText="1"/>
    </xf>
    <xf numFmtId="0" fontId="21" fillId="21" borderId="5" xfId="0" applyFont="1" applyFill="1" applyBorder="1" applyAlignment="1">
      <alignment vertical="center" wrapText="1"/>
    </xf>
    <xf numFmtId="0" fontId="21" fillId="21" borderId="5" xfId="0" applyFont="1" applyFill="1" applyBorder="1" applyAlignment="1">
      <alignment horizontal="right" vertical="center" wrapText="1"/>
    </xf>
    <xf numFmtId="0" fontId="20" fillId="21" borderId="5" xfId="0" applyFont="1" applyFill="1" applyBorder="1" applyAlignment="1">
      <alignment vertical="center" wrapText="1"/>
    </xf>
    <xf numFmtId="0" fontId="18" fillId="0" borderId="0" xfId="0" applyFont="1"/>
    <xf numFmtId="0" fontId="2" fillId="4" borderId="1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18" fillId="0" borderId="5" xfId="0" applyFont="1" applyBorder="1"/>
  </cellXfs>
  <cellStyles count="3">
    <cellStyle name="Hyperlink" xfId="2" builtinId="8"/>
    <cellStyle name="Normal" xfId="0" builtinId="0"/>
    <cellStyle name="Percent" xfId="1" builtinId="5"/>
  </cellStyles>
  <dxfs count="3">
    <dxf>
      <font>
        <u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Marks_Trendline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Studence_performnace!$B$35:$B$37</c:f>
              <c:strCache>
                <c:ptCount val="3"/>
                <c:pt idx="0">
                  <c:v>Semester 1 %:</c:v>
                </c:pt>
                <c:pt idx="1">
                  <c:v>Semester 2 %:</c:v>
                </c:pt>
                <c:pt idx="2">
                  <c:v>Semester 3 %:</c:v>
                </c:pt>
              </c:strCache>
            </c:strRef>
          </c:cat>
          <c:val>
            <c:numRef>
              <c:f>Studence_performnace!$C$35:$C$37</c:f>
              <c:numCache>
                <c:formatCode>0.00%</c:formatCode>
                <c:ptCount val="3"/>
                <c:pt idx="0">
                  <c:v>0.84099999999999997</c:v>
                </c:pt>
                <c:pt idx="1">
                  <c:v>0.85899999999999999</c:v>
                </c:pt>
                <c:pt idx="2">
                  <c:v>0.84699999999999998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2B-48F9-A4D4-6BC45F61D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255584"/>
        <c:axId val="211025846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Studence_performnace!$B$35:$B$37</c15:sqref>
                        </c15:formulaRef>
                      </c:ext>
                    </c:extLst>
                    <c:strCache>
                      <c:ptCount val="3"/>
                      <c:pt idx="0">
                        <c:v>Semester 1 %:</c:v>
                      </c:pt>
                      <c:pt idx="1">
                        <c:v>Semester 2 %:</c:v>
                      </c:pt>
                      <c:pt idx="2">
                        <c:v>Semester 3 %: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Studence_performnace!$D$35:$D$37</c15:sqref>
                        </c15:formulaRef>
                      </c:ext>
                    </c:extLst>
                    <c:numCache>
                      <c:formatCode>0.00%</c:formatCode>
                      <c:ptCount val="3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F2B-48F9-A4D4-6BC45F61DAEE}"/>
                  </c:ext>
                </c:extLst>
              </c15:ser>
            </c15:filteredLineSeries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Studence_performnace!$B$35:$B$37</c15:sqref>
                        </c15:formulaRef>
                      </c:ext>
                    </c:extLst>
                    <c:strCache>
                      <c:ptCount val="3"/>
                      <c:pt idx="0">
                        <c:v>Semester 1 %:</c:v>
                      </c:pt>
                      <c:pt idx="1">
                        <c:v>Semester 2 %:</c:v>
                      </c:pt>
                      <c:pt idx="2">
                        <c:v>Semester 3 %: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Studence_performnace!$E$35:$E$37</c15:sqref>
                        </c15:formulaRef>
                      </c:ext>
                    </c:extLst>
                    <c:numCache>
                      <c:formatCode>0.00%</c:formatCode>
                      <c:ptCount val="3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F2B-48F9-A4D4-6BC45F61DAEE}"/>
                  </c:ext>
                </c:extLst>
              </c15:ser>
            </c15:filteredLineSeries>
            <c15:filteredLineSeries>
              <c15:ser>
                <c:idx val="3"/>
                <c:order val="3"/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Studence_performnace!$B$35:$B$37</c15:sqref>
                        </c15:formulaRef>
                      </c:ext>
                    </c:extLst>
                    <c:strCache>
                      <c:ptCount val="3"/>
                      <c:pt idx="0">
                        <c:v>Semester 1 %:</c:v>
                      </c:pt>
                      <c:pt idx="1">
                        <c:v>Semester 2 %:</c:v>
                      </c:pt>
                      <c:pt idx="2">
                        <c:v>Semester 3 %: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Studence_performnace!$F$35:$F$37</c15:sqref>
                        </c15:formulaRef>
                      </c:ext>
                    </c:extLst>
                    <c:numCache>
                      <c:formatCode>0.00%</c:formatCode>
                      <c:ptCount val="3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F2B-48F9-A4D4-6BC45F61DAEE}"/>
                  </c:ext>
                </c:extLst>
              </c15:ser>
            </c15:filteredLineSeries>
          </c:ext>
        </c:extLst>
      </c:lineChart>
      <c:catAx>
        <c:axId val="211025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258464"/>
        <c:crosses val="autoZero"/>
        <c:auto val="1"/>
        <c:lblAlgn val="ctr"/>
        <c:lblOffset val="100"/>
        <c:noMultiLvlLbl val="0"/>
      </c:catAx>
      <c:valAx>
        <c:axId val="211025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25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/>
      </a:solidFill>
      <a:round/>
    </a:ln>
    <a:effectLst>
      <a:glow rad="101600">
        <a:schemeClr val="accent2">
          <a:satMod val="175000"/>
          <a:alpha val="40000"/>
        </a:schemeClr>
      </a:glow>
    </a:effectLst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Attendece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9118187170085805"/>
          <c:y val="0.30744620860970828"/>
          <c:w val="0.2124973976408448"/>
          <c:h val="0.5781175265541408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E34-4F9E-839B-4F44A55C65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E34-4F9E-839B-4F44A55C659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Studence_performnace!$A$122:$A$123</c:f>
              <c:strCache>
                <c:ptCount val="2"/>
                <c:pt idx="0">
                  <c:v>attednece</c:v>
                </c:pt>
                <c:pt idx="1">
                  <c:v>absent</c:v>
                </c:pt>
              </c:strCache>
            </c:strRef>
          </c:cat>
          <c:val>
            <c:numRef>
              <c:f>Studence_performnace!$B$122:$B$123</c:f>
              <c:numCache>
                <c:formatCode>General</c:formatCode>
                <c:ptCount val="2"/>
                <c:pt idx="0">
                  <c:v>77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34-4F9E-839B-4F44A55C659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Marks_Percentage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227196033477679"/>
          <c:y val="0.12022691764925737"/>
          <c:w val="0.7474809711286089"/>
          <c:h val="0.72125801983085447"/>
        </c:manualLayout>
      </c:layout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Studence_performnace!$B$35:$B$37</c:f>
              <c:strCache>
                <c:ptCount val="3"/>
                <c:pt idx="0">
                  <c:v>Semester 1 %:</c:v>
                </c:pt>
                <c:pt idx="1">
                  <c:v>Semester 2 %:</c:v>
                </c:pt>
                <c:pt idx="2">
                  <c:v>Semester 3 %:</c:v>
                </c:pt>
              </c:strCache>
            </c:strRef>
          </c:cat>
          <c:val>
            <c:numRef>
              <c:f>Studence_performnace!$C$35:$C$37</c:f>
              <c:numCache>
                <c:formatCode>0.00%</c:formatCode>
                <c:ptCount val="3"/>
                <c:pt idx="0">
                  <c:v>0.84099999999999997</c:v>
                </c:pt>
                <c:pt idx="1">
                  <c:v>0.85899999999999999</c:v>
                </c:pt>
                <c:pt idx="2">
                  <c:v>0.84699999999999998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0-4A93-A71E-E9D72988F90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10290624"/>
        <c:axId val="211029110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Studence_performnace!$B$35:$B$37</c15:sqref>
                        </c15:formulaRef>
                      </c:ext>
                    </c:extLst>
                    <c:strCache>
                      <c:ptCount val="3"/>
                      <c:pt idx="0">
                        <c:v>Semester 1 %:</c:v>
                      </c:pt>
                      <c:pt idx="1">
                        <c:v>Semester 2 %:</c:v>
                      </c:pt>
                      <c:pt idx="2">
                        <c:v>Semester 3 %: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Studence_performnace!$D$35:$D$37</c15:sqref>
                        </c15:formulaRef>
                      </c:ext>
                    </c:extLst>
                    <c:numCache>
                      <c:formatCode>0.00%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690-4A93-A71E-E9D72988F90B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Studence_performnace!$B$35:$B$37</c15:sqref>
                        </c15:formulaRef>
                      </c:ext>
                    </c:extLst>
                    <c:strCache>
                      <c:ptCount val="3"/>
                      <c:pt idx="0">
                        <c:v>Semester 1 %:</c:v>
                      </c:pt>
                      <c:pt idx="1">
                        <c:v>Semester 2 %:</c:v>
                      </c:pt>
                      <c:pt idx="2">
                        <c:v>Semester 3 %: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Studence_performnace!$E$35:$E$37</c15:sqref>
                        </c15:formulaRef>
                      </c:ext>
                    </c:extLst>
                    <c:numCache>
                      <c:formatCode>0.00%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690-4A93-A71E-E9D72988F90B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Studence_performnace!$B$35:$B$37</c15:sqref>
                        </c15:formulaRef>
                      </c:ext>
                    </c:extLst>
                    <c:strCache>
                      <c:ptCount val="3"/>
                      <c:pt idx="0">
                        <c:v>Semester 1 %:</c:v>
                      </c:pt>
                      <c:pt idx="1">
                        <c:v>Semester 2 %:</c:v>
                      </c:pt>
                      <c:pt idx="2">
                        <c:v>Semester 3 %: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Studence_performnace!$F$35:$F$37</c15:sqref>
                        </c15:formulaRef>
                      </c:ext>
                    </c:extLst>
                    <c:numCache>
                      <c:formatCode>0.00%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690-4A93-A71E-E9D72988F90B}"/>
                  </c:ext>
                </c:extLst>
              </c15:ser>
            </c15:filteredBarSeries>
          </c:ext>
        </c:extLst>
      </c:barChart>
      <c:catAx>
        <c:axId val="211029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291104"/>
        <c:crosses val="autoZero"/>
        <c:auto val="1"/>
        <c:lblAlgn val="ctr"/>
        <c:lblOffset val="100"/>
        <c:noMultiLvlLbl val="0"/>
      </c:catAx>
      <c:valAx>
        <c:axId val="21102911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29062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tx1"/>
      </a:solidFill>
    </a:ln>
    <a:effectLst>
      <a:glow rad="101600">
        <a:schemeClr val="tx1">
          <a:lumMod val="85000"/>
          <a:lumOff val="15000"/>
          <a:alpha val="60000"/>
        </a:schemeClr>
      </a:glow>
    </a:effectLst>
    <a:scene3d>
      <a:camera prst="orthographicFront"/>
      <a:lightRig rig="threePt" dir="t"/>
    </a:scene3d>
    <a:sp3d>
      <a:bevelT prst="relaxedInset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615592</xdr:colOff>
      <xdr:row>40</xdr:row>
      <xdr:rowOff>148591</xdr:rowOff>
    </xdr:from>
    <xdr:to>
      <xdr:col>15</xdr:col>
      <xdr:colOff>607887</xdr:colOff>
      <xdr:row>48</xdr:row>
      <xdr:rowOff>8562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D1130A-2601-4B45-AA59-95E0711C00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13357</xdr:colOff>
      <xdr:row>20</xdr:row>
      <xdr:rowOff>8561</xdr:rowOff>
    </xdr:from>
    <xdr:to>
      <xdr:col>16</xdr:col>
      <xdr:colOff>8562</xdr:colOff>
      <xdr:row>31</xdr:row>
      <xdr:rowOff>31421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6A7BA6-433F-4A74-9153-757CC17397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590764</xdr:colOff>
      <xdr:row>32</xdr:row>
      <xdr:rowOff>94180</xdr:rowOff>
    </xdr:from>
    <xdr:to>
      <xdr:col>15</xdr:col>
      <xdr:colOff>582203</xdr:colOff>
      <xdr:row>39</xdr:row>
      <xdr:rowOff>154113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BC1DB8-4638-4D23-8E51-C15448F660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mara.csc2407@gmail.com" TargetMode="External"/><Relationship Id="rId13" Type="http://schemas.openxmlformats.org/officeDocument/2006/relationships/hyperlink" Target="mailto:bheem.csc2412@gmail.com" TargetMode="External"/><Relationship Id="rId18" Type="http://schemas.openxmlformats.org/officeDocument/2006/relationships/hyperlink" Target="mailto:ishaan.csc2417@gmail.com" TargetMode="External"/><Relationship Id="rId26" Type="http://schemas.openxmlformats.org/officeDocument/2006/relationships/hyperlink" Target="mailto:srinathavc@gmail.com" TargetMode="External"/><Relationship Id="rId3" Type="http://schemas.openxmlformats.org/officeDocument/2006/relationships/hyperlink" Target="mailto:aadvik.csc2402@gmail.com" TargetMode="External"/><Relationship Id="rId21" Type="http://schemas.openxmlformats.org/officeDocument/2006/relationships/hyperlink" Target="mailto:laya.csc2420@gmail.com" TargetMode="External"/><Relationship Id="rId7" Type="http://schemas.openxmlformats.org/officeDocument/2006/relationships/hyperlink" Target="mailto:akshara.csc2406@gmail.com" TargetMode="External"/><Relationship Id="rId12" Type="http://schemas.openxmlformats.org/officeDocument/2006/relationships/hyperlink" Target="mailto:avyan.csc2411@gmail.com" TargetMode="External"/><Relationship Id="rId17" Type="http://schemas.openxmlformats.org/officeDocument/2006/relationships/hyperlink" Target="mailto:diya.csc2416@gmail.com" TargetMode="External"/><Relationship Id="rId25" Type="http://schemas.openxmlformats.org/officeDocument/2006/relationships/hyperlink" Target="mailto:saanvi.csc2424@gmail.com" TargetMode="External"/><Relationship Id="rId2" Type="http://schemas.openxmlformats.org/officeDocument/2006/relationships/hyperlink" Target="mailto:aadhya.csc2401@gmail.com" TargetMode="External"/><Relationship Id="rId16" Type="http://schemas.openxmlformats.org/officeDocument/2006/relationships/hyperlink" Target="mailto:deepak.csc2415@gmail.com" TargetMode="External"/><Relationship Id="rId20" Type="http://schemas.openxmlformats.org/officeDocument/2006/relationships/hyperlink" Target="mailto:kavya.csc2419@gmail.com" TargetMode="External"/><Relationship Id="rId1" Type="http://schemas.openxmlformats.org/officeDocument/2006/relationships/hyperlink" Target="mailto:studygram771@gmail.com" TargetMode="External"/><Relationship Id="rId6" Type="http://schemas.openxmlformats.org/officeDocument/2006/relationships/hyperlink" Target="mailto:advait.csc2405@gmail.com" TargetMode="External"/><Relationship Id="rId11" Type="http://schemas.openxmlformats.org/officeDocument/2006/relationships/hyperlink" Target="mailto:arjun.csc2410@gmail.com" TargetMode="External"/><Relationship Id="rId24" Type="http://schemas.openxmlformats.org/officeDocument/2006/relationships/hyperlink" Target="mailto:prisha.csc2423@gmail.com" TargetMode="External"/><Relationship Id="rId5" Type="http://schemas.openxmlformats.org/officeDocument/2006/relationships/hyperlink" Target="mailto:aditi.csc2404@gmail.com" TargetMode="External"/><Relationship Id="rId15" Type="http://schemas.openxmlformats.org/officeDocument/2006/relationships/hyperlink" Target="mailto:chinmayi.csc2414@gmail.com" TargetMode="External"/><Relationship Id="rId23" Type="http://schemas.openxmlformats.org/officeDocument/2006/relationships/hyperlink" Target="mailto:pranav.csc2422@gmail.com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mailto:anvitha.csc2409@gmail.com" TargetMode="External"/><Relationship Id="rId19" Type="http://schemas.openxmlformats.org/officeDocument/2006/relationships/hyperlink" Target="mailto:karthik.csc2418@gmail.com" TargetMode="External"/><Relationship Id="rId4" Type="http://schemas.openxmlformats.org/officeDocument/2006/relationships/hyperlink" Target="mailto:abhinav.csc2403@gmail.com" TargetMode="External"/><Relationship Id="rId9" Type="http://schemas.openxmlformats.org/officeDocument/2006/relationships/hyperlink" Target="mailto:ananya.csc2408@gmail.com" TargetMode="External"/><Relationship Id="rId14" Type="http://schemas.openxmlformats.org/officeDocument/2006/relationships/hyperlink" Target="mailto:chakri.csc2413@gmail.com" TargetMode="External"/><Relationship Id="rId22" Type="http://schemas.openxmlformats.org/officeDocument/2006/relationships/hyperlink" Target="mailto:sidduv250@gmail.com" TargetMode="External"/><Relationship Id="rId27" Type="http://schemas.openxmlformats.org/officeDocument/2006/relationships/hyperlink" Target="mailto:vsiddu200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902D3-9227-47FD-B190-092EAA58ED31}">
  <sheetPr codeName="Sheet2"/>
  <dimension ref="A1:W31"/>
  <sheetViews>
    <sheetView zoomScale="70" zoomScaleNormal="70" workbookViewId="0">
      <selection activeCell="G4" sqref="G4"/>
    </sheetView>
  </sheetViews>
  <sheetFormatPr defaultRowHeight="14.4" x14ac:dyDescent="0.3"/>
  <cols>
    <col min="1" max="1" width="8.6640625" bestFit="1" customWidth="1"/>
    <col min="2" max="2" width="14.33203125" bestFit="1" customWidth="1"/>
    <col min="3" max="3" width="8.21875" bestFit="1" customWidth="1"/>
    <col min="4" max="4" width="14.21875" bestFit="1" customWidth="1"/>
    <col min="5" max="5" width="18.5546875" bestFit="1" customWidth="1"/>
    <col min="6" max="6" width="24.44140625" customWidth="1"/>
    <col min="7" max="7" width="24.21875" style="16" bestFit="1" customWidth="1"/>
    <col min="8" max="8" width="11" style="13" bestFit="1" customWidth="1"/>
    <col min="9" max="10" width="8" style="13" bestFit="1" customWidth="1"/>
    <col min="11" max="11" width="10.6640625" style="14" bestFit="1" customWidth="1"/>
    <col min="12" max="12" width="13.88671875" bestFit="1" customWidth="1"/>
    <col min="13" max="13" width="13.88671875" customWidth="1"/>
    <col min="14" max="14" width="13.21875" bestFit="1" customWidth="1"/>
    <col min="15" max="15" width="8.6640625" customWidth="1"/>
    <col min="16" max="16" width="12.33203125" customWidth="1"/>
    <col min="17" max="17" width="16.33203125" customWidth="1"/>
    <col min="18" max="18" width="27.6640625" customWidth="1"/>
    <col min="19" max="19" width="14.77734375" customWidth="1"/>
  </cols>
  <sheetData>
    <row r="1" spans="1:23" ht="14.4" customHeight="1" x14ac:dyDescent="0.65">
      <c r="A1" s="33" t="s">
        <v>0</v>
      </c>
      <c r="B1" s="33"/>
      <c r="C1" s="33"/>
      <c r="D1" s="33"/>
      <c r="E1" s="33"/>
      <c r="F1" s="33"/>
      <c r="G1" s="33"/>
      <c r="H1" s="34"/>
      <c r="I1" s="34"/>
      <c r="J1" s="34"/>
      <c r="K1" s="34"/>
      <c r="L1" s="33"/>
      <c r="M1" s="33"/>
      <c r="N1" s="33"/>
      <c r="O1" s="33"/>
      <c r="P1" s="33"/>
      <c r="Q1" s="33"/>
      <c r="R1" s="33"/>
      <c r="S1" s="35"/>
      <c r="T1" s="20"/>
      <c r="U1" s="20"/>
      <c r="V1" s="20"/>
      <c r="W1" s="20"/>
    </row>
    <row r="2" spans="1:23" ht="15" customHeight="1" x14ac:dyDescent="0.65">
      <c r="A2" s="33"/>
      <c r="B2" s="33"/>
      <c r="C2" s="33"/>
      <c r="D2" s="33"/>
      <c r="E2" s="33"/>
      <c r="F2" s="33"/>
      <c r="G2" s="33"/>
      <c r="H2" s="34"/>
      <c r="I2" s="34"/>
      <c r="J2" s="34"/>
      <c r="K2" s="34"/>
      <c r="L2" s="33"/>
      <c r="M2" s="33"/>
      <c r="N2" s="33"/>
      <c r="O2" s="33"/>
      <c r="P2" s="33"/>
      <c r="Q2" s="33"/>
      <c r="R2" s="33"/>
      <c r="S2" s="35"/>
      <c r="T2" s="20"/>
      <c r="U2" s="20"/>
      <c r="V2" s="20"/>
      <c r="W2" s="20"/>
    </row>
    <row r="3" spans="1:23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93</v>
      </c>
      <c r="G3" s="15" t="s">
        <v>92</v>
      </c>
      <c r="H3" s="9" t="s">
        <v>6</v>
      </c>
      <c r="I3" s="9" t="s">
        <v>7</v>
      </c>
      <c r="J3" s="9" t="s">
        <v>8</v>
      </c>
      <c r="K3" s="10" t="s">
        <v>9</v>
      </c>
      <c r="L3" s="2" t="s">
        <v>10</v>
      </c>
      <c r="M3" s="2" t="s">
        <v>69</v>
      </c>
      <c r="N3" s="2" t="s">
        <v>11</v>
      </c>
      <c r="O3" s="2" t="s">
        <v>12</v>
      </c>
      <c r="P3" s="2" t="s">
        <v>13</v>
      </c>
      <c r="Q3" s="2" t="s">
        <v>114</v>
      </c>
      <c r="R3" s="2" t="s">
        <v>91</v>
      </c>
      <c r="S3" s="2" t="s">
        <v>113</v>
      </c>
      <c r="T3" s="31"/>
    </row>
    <row r="4" spans="1:23" x14ac:dyDescent="0.3">
      <c r="A4" s="3">
        <v>2401</v>
      </c>
      <c r="B4" s="3" t="s">
        <v>14</v>
      </c>
      <c r="C4" s="3" t="s">
        <v>41</v>
      </c>
      <c r="D4" s="3">
        <v>100</v>
      </c>
      <c r="E4" s="3">
        <v>84</v>
      </c>
      <c r="F4" s="3">
        <f>(D4-E4)</f>
        <v>16</v>
      </c>
      <c r="G4" s="4">
        <f>E4/D4</f>
        <v>0.84</v>
      </c>
      <c r="H4" s="11">
        <v>0.95399999999999996</v>
      </c>
      <c r="I4" s="11">
        <v>0.96099999999999997</v>
      </c>
      <c r="J4" s="11">
        <v>0.94799999999999995</v>
      </c>
      <c r="K4" s="12">
        <f>(H4+I4+J4)/3</f>
        <v>0.95433333333333337</v>
      </c>
      <c r="L4" s="3" t="str">
        <f t="shared" ref="L4:L30" si="0">IF(K4&gt;=90%,"Excellent",IF(K4&gt;=80%,"Very Good",IF(K4&gt;=70%,"Good",IF(K4&gt;=60%,"Average","Poor"))))</f>
        <v>Excellent</v>
      </c>
      <c r="M4" s="3" t="str">
        <f>IF(OR(K4&lt;55%,G4&lt;75%), "⚠ RISK", "✅ NO RISK")</f>
        <v>✅ NO RISK</v>
      </c>
      <c r="N4" s="5">
        <v>75000</v>
      </c>
      <c r="O4" s="6">
        <v>75000</v>
      </c>
      <c r="P4" s="5">
        <f>(N4-O4)</f>
        <v>0</v>
      </c>
      <c r="Q4" t="s">
        <v>115</v>
      </c>
      <c r="R4" s="7" t="s">
        <v>45</v>
      </c>
      <c r="S4" s="8" t="s">
        <v>141</v>
      </c>
    </row>
    <row r="5" spans="1:23" x14ac:dyDescent="0.3">
      <c r="A5" s="3">
        <v>2402</v>
      </c>
      <c r="B5" s="3" t="s">
        <v>15</v>
      </c>
      <c r="C5" s="3" t="s">
        <v>42</v>
      </c>
      <c r="D5" s="3">
        <v>100</v>
      </c>
      <c r="E5" s="3">
        <v>72</v>
      </c>
      <c r="F5" s="3">
        <f t="shared" ref="F5:F29" si="1">(D5-E5)</f>
        <v>28</v>
      </c>
      <c r="G5" s="4">
        <f t="shared" ref="G5:G30" si="2">E5/D5</f>
        <v>0.72</v>
      </c>
      <c r="H5" s="11">
        <v>0.88600000000000001</v>
      </c>
      <c r="I5" s="11">
        <v>0.89400000000000002</v>
      </c>
      <c r="J5" s="11">
        <v>0.88100000000000001</v>
      </c>
      <c r="K5" s="12">
        <f t="shared" ref="K5:K30" si="3">(H5+I5+J5)/3</f>
        <v>0.88700000000000001</v>
      </c>
      <c r="L5" s="3" t="str">
        <f t="shared" si="0"/>
        <v>Very Good</v>
      </c>
      <c r="M5" s="3" t="str">
        <f t="shared" ref="M5:M30" si="4">IF(OR(K5&lt;55%,G5&lt;75%), "⚠ RISK", "✅ NO RISK")</f>
        <v>⚠ RISK</v>
      </c>
      <c r="N5" s="5">
        <v>75000</v>
      </c>
      <c r="O5" s="6">
        <v>60000</v>
      </c>
      <c r="P5" s="5">
        <f t="shared" ref="P5:P30" si="5">(N5-O5)</f>
        <v>15000</v>
      </c>
      <c r="Q5" t="s">
        <v>116</v>
      </c>
      <c r="R5" s="7" t="s">
        <v>46</v>
      </c>
      <c r="S5" s="8" t="s">
        <v>142</v>
      </c>
    </row>
    <row r="6" spans="1:23" x14ac:dyDescent="0.3">
      <c r="A6" s="3">
        <v>2403</v>
      </c>
      <c r="B6" s="3" t="s">
        <v>16</v>
      </c>
      <c r="C6" s="3" t="s">
        <v>42</v>
      </c>
      <c r="D6" s="3">
        <v>100</v>
      </c>
      <c r="E6" s="3">
        <v>95</v>
      </c>
      <c r="F6" s="3">
        <f t="shared" si="1"/>
        <v>5</v>
      </c>
      <c r="G6" s="4">
        <f t="shared" si="2"/>
        <v>0.95</v>
      </c>
      <c r="H6" s="11">
        <v>0.82299999999999995</v>
      </c>
      <c r="I6" s="11">
        <v>0.83699999999999997</v>
      </c>
      <c r="J6" s="11">
        <v>0.82599999999999996</v>
      </c>
      <c r="K6" s="12">
        <f t="shared" si="3"/>
        <v>0.82866666666666655</v>
      </c>
      <c r="L6" s="3" t="str">
        <f t="shared" si="0"/>
        <v>Very Good</v>
      </c>
      <c r="M6" s="3" t="str">
        <f t="shared" si="4"/>
        <v>✅ NO RISK</v>
      </c>
      <c r="N6" s="5">
        <v>75000</v>
      </c>
      <c r="O6" s="6">
        <v>75000</v>
      </c>
      <c r="P6" s="5">
        <f t="shared" si="5"/>
        <v>0</v>
      </c>
      <c r="Q6" t="s">
        <v>117</v>
      </c>
      <c r="R6" s="7" t="s">
        <v>47</v>
      </c>
      <c r="S6" s="8" t="s">
        <v>143</v>
      </c>
    </row>
    <row r="7" spans="1:23" x14ac:dyDescent="0.3">
      <c r="A7" s="3">
        <v>2404</v>
      </c>
      <c r="B7" s="3" t="s">
        <v>17</v>
      </c>
      <c r="C7" s="3" t="s">
        <v>41</v>
      </c>
      <c r="D7" s="3">
        <v>100</v>
      </c>
      <c r="E7" s="3">
        <v>68</v>
      </c>
      <c r="F7" s="3">
        <f t="shared" si="1"/>
        <v>32</v>
      </c>
      <c r="G7" s="4">
        <f t="shared" si="2"/>
        <v>0.68</v>
      </c>
      <c r="H7" s="11">
        <v>0.91700000000000004</v>
      </c>
      <c r="I7" s="11">
        <v>0.92300000000000004</v>
      </c>
      <c r="J7" s="11">
        <v>0.91200000000000003</v>
      </c>
      <c r="K7" s="12">
        <f t="shared" si="3"/>
        <v>0.91733333333333344</v>
      </c>
      <c r="L7" s="3" t="str">
        <f t="shared" si="0"/>
        <v>Excellent</v>
      </c>
      <c r="M7" s="3" t="str">
        <f t="shared" si="4"/>
        <v>⚠ RISK</v>
      </c>
      <c r="N7" s="5">
        <v>75000</v>
      </c>
      <c r="O7" s="6">
        <v>50000</v>
      </c>
      <c r="P7" s="5">
        <f t="shared" si="5"/>
        <v>25000</v>
      </c>
      <c r="Q7" t="s">
        <v>118</v>
      </c>
      <c r="R7" s="7" t="s">
        <v>48</v>
      </c>
      <c r="S7" s="8" t="s">
        <v>144</v>
      </c>
    </row>
    <row r="8" spans="1:23" x14ac:dyDescent="0.3">
      <c r="A8" s="3">
        <v>2405</v>
      </c>
      <c r="B8" s="3" t="s">
        <v>18</v>
      </c>
      <c r="C8" s="3" t="s">
        <v>42</v>
      </c>
      <c r="D8" s="3">
        <v>100</v>
      </c>
      <c r="E8" s="3">
        <v>81</v>
      </c>
      <c r="F8" s="3">
        <f t="shared" si="1"/>
        <v>19</v>
      </c>
      <c r="G8" s="4">
        <f t="shared" si="2"/>
        <v>0.81</v>
      </c>
      <c r="H8" s="11">
        <v>0.76500000000000001</v>
      </c>
      <c r="I8" s="11">
        <v>0.77800000000000002</v>
      </c>
      <c r="J8" s="11">
        <v>0.76900000000000002</v>
      </c>
      <c r="K8" s="12">
        <f t="shared" si="3"/>
        <v>0.77066666666666672</v>
      </c>
      <c r="L8" s="3" t="str">
        <f t="shared" si="0"/>
        <v>Good</v>
      </c>
      <c r="M8" s="3" t="str">
        <f t="shared" si="4"/>
        <v>✅ NO RISK</v>
      </c>
      <c r="N8" s="5">
        <v>75000</v>
      </c>
      <c r="O8" s="6">
        <v>75000</v>
      </c>
      <c r="P8" s="5">
        <f t="shared" si="5"/>
        <v>0</v>
      </c>
      <c r="Q8" t="s">
        <v>119</v>
      </c>
      <c r="R8" s="7" t="s">
        <v>49</v>
      </c>
      <c r="S8" s="8" t="s">
        <v>145</v>
      </c>
    </row>
    <row r="9" spans="1:23" x14ac:dyDescent="0.3">
      <c r="A9" s="3">
        <v>2406</v>
      </c>
      <c r="B9" s="3" t="s">
        <v>19</v>
      </c>
      <c r="C9" s="3" t="s">
        <v>42</v>
      </c>
      <c r="D9" s="3">
        <v>100</v>
      </c>
      <c r="E9" s="3">
        <v>92</v>
      </c>
      <c r="F9" s="3">
        <f t="shared" si="1"/>
        <v>8</v>
      </c>
      <c r="G9" s="4">
        <f t="shared" si="2"/>
        <v>0.92</v>
      </c>
      <c r="H9" s="11">
        <v>0.69799999999999995</v>
      </c>
      <c r="I9" s="11">
        <v>0.70499999999999996</v>
      </c>
      <c r="J9" s="11">
        <v>0.69299999999999995</v>
      </c>
      <c r="K9" s="12">
        <f t="shared" si="3"/>
        <v>0.69866666666666666</v>
      </c>
      <c r="L9" s="3" t="str">
        <f t="shared" si="0"/>
        <v>Average</v>
      </c>
      <c r="M9" s="3" t="str">
        <f t="shared" si="4"/>
        <v>✅ NO RISK</v>
      </c>
      <c r="N9" s="5">
        <v>75000</v>
      </c>
      <c r="O9" s="6">
        <v>45000</v>
      </c>
      <c r="P9" s="5">
        <f t="shared" si="5"/>
        <v>30000</v>
      </c>
      <c r="Q9" t="s">
        <v>120</v>
      </c>
      <c r="R9" s="7" t="s">
        <v>50</v>
      </c>
      <c r="S9" s="8" t="s">
        <v>146</v>
      </c>
    </row>
    <row r="10" spans="1:23" x14ac:dyDescent="0.3">
      <c r="A10" s="3">
        <v>2407</v>
      </c>
      <c r="B10" s="3" t="s">
        <v>20</v>
      </c>
      <c r="C10" s="3" t="s">
        <v>41</v>
      </c>
      <c r="D10" s="3">
        <v>100</v>
      </c>
      <c r="E10" s="3">
        <v>77</v>
      </c>
      <c r="F10" s="3">
        <f t="shared" si="1"/>
        <v>23</v>
      </c>
      <c r="G10" s="4">
        <f t="shared" si="2"/>
        <v>0.77</v>
      </c>
      <c r="H10" s="11">
        <v>0.84099999999999997</v>
      </c>
      <c r="I10" s="11">
        <v>0.85899999999999999</v>
      </c>
      <c r="J10" s="11">
        <v>0.84699999999999998</v>
      </c>
      <c r="K10" s="12">
        <f t="shared" si="3"/>
        <v>0.84899999999999987</v>
      </c>
      <c r="L10" s="3" t="str">
        <f t="shared" si="0"/>
        <v>Very Good</v>
      </c>
      <c r="M10" s="3" t="str">
        <f t="shared" si="4"/>
        <v>✅ NO RISK</v>
      </c>
      <c r="N10" s="5">
        <v>75000</v>
      </c>
      <c r="O10" s="6">
        <v>75000</v>
      </c>
      <c r="P10" s="5">
        <f t="shared" si="5"/>
        <v>0</v>
      </c>
      <c r="Q10" t="s">
        <v>121</v>
      </c>
      <c r="R10" s="7" t="s">
        <v>51</v>
      </c>
      <c r="S10" s="8" t="s">
        <v>147</v>
      </c>
    </row>
    <row r="11" spans="1:23" x14ac:dyDescent="0.3">
      <c r="A11" s="3">
        <v>2408</v>
      </c>
      <c r="B11" s="3" t="s">
        <v>21</v>
      </c>
      <c r="C11" s="3" t="s">
        <v>41</v>
      </c>
      <c r="D11" s="3">
        <v>100</v>
      </c>
      <c r="E11" s="3">
        <v>89</v>
      </c>
      <c r="F11" s="3">
        <f t="shared" si="1"/>
        <v>11</v>
      </c>
      <c r="G11" s="4">
        <f t="shared" si="2"/>
        <v>0.89</v>
      </c>
      <c r="H11" s="11">
        <v>0.92900000000000005</v>
      </c>
      <c r="I11" s="11">
        <v>0.94599999999999995</v>
      </c>
      <c r="J11" s="11">
        <v>0.93500000000000005</v>
      </c>
      <c r="K11" s="12">
        <f t="shared" si="3"/>
        <v>0.93666666666666665</v>
      </c>
      <c r="L11" s="3" t="str">
        <f t="shared" si="0"/>
        <v>Excellent</v>
      </c>
      <c r="M11" s="3" t="str">
        <f t="shared" si="4"/>
        <v>✅ NO RISK</v>
      </c>
      <c r="N11" s="5">
        <v>75000</v>
      </c>
      <c r="O11" s="6">
        <v>75000</v>
      </c>
      <c r="P11" s="5">
        <f t="shared" si="5"/>
        <v>0</v>
      </c>
      <c r="Q11" t="s">
        <v>122</v>
      </c>
      <c r="R11" s="7" t="s">
        <v>52</v>
      </c>
      <c r="S11" s="8" t="s">
        <v>148</v>
      </c>
    </row>
    <row r="12" spans="1:23" x14ac:dyDescent="0.3">
      <c r="A12" s="3">
        <v>2409</v>
      </c>
      <c r="B12" s="3" t="s">
        <v>22</v>
      </c>
      <c r="C12" s="3" t="s">
        <v>42</v>
      </c>
      <c r="D12" s="3">
        <v>100</v>
      </c>
      <c r="E12" s="3">
        <v>64</v>
      </c>
      <c r="F12" s="3">
        <f t="shared" si="1"/>
        <v>36</v>
      </c>
      <c r="G12" s="4">
        <f t="shared" si="2"/>
        <v>0.64</v>
      </c>
      <c r="H12" s="11">
        <v>0.73399999999999999</v>
      </c>
      <c r="I12" s="11">
        <v>0.74199999999999999</v>
      </c>
      <c r="J12" s="11">
        <v>0.73799999999999999</v>
      </c>
      <c r="K12" s="12">
        <f t="shared" si="3"/>
        <v>0.73799999999999999</v>
      </c>
      <c r="L12" s="3" t="str">
        <f t="shared" si="0"/>
        <v>Good</v>
      </c>
      <c r="M12" s="3" t="str">
        <f t="shared" si="4"/>
        <v>⚠ RISK</v>
      </c>
      <c r="N12" s="5">
        <v>75000</v>
      </c>
      <c r="O12" s="6">
        <v>40000</v>
      </c>
      <c r="P12" s="5">
        <f t="shared" si="5"/>
        <v>35000</v>
      </c>
      <c r="Q12" t="s">
        <v>123</v>
      </c>
      <c r="R12" s="7" t="s">
        <v>53</v>
      </c>
      <c r="S12" s="8" t="s">
        <v>141</v>
      </c>
    </row>
    <row r="13" spans="1:23" x14ac:dyDescent="0.3">
      <c r="A13" s="3">
        <v>2410</v>
      </c>
      <c r="B13" s="3" t="s">
        <v>23</v>
      </c>
      <c r="C13" s="3" t="s">
        <v>42</v>
      </c>
      <c r="D13" s="3">
        <v>100</v>
      </c>
      <c r="E13" s="3">
        <v>98</v>
      </c>
      <c r="F13" s="3">
        <f t="shared" si="1"/>
        <v>2</v>
      </c>
      <c r="G13" s="4">
        <f t="shared" si="2"/>
        <v>0.98</v>
      </c>
      <c r="H13" s="11">
        <v>0.65200000000000002</v>
      </c>
      <c r="I13" s="11">
        <v>0.66100000000000003</v>
      </c>
      <c r="J13" s="11">
        <v>0.65400000000000003</v>
      </c>
      <c r="K13" s="12">
        <f t="shared" si="3"/>
        <v>0.65566666666666673</v>
      </c>
      <c r="L13" s="3" t="str">
        <f t="shared" si="0"/>
        <v>Average</v>
      </c>
      <c r="M13" s="3" t="str">
        <f t="shared" si="4"/>
        <v>✅ NO RISK</v>
      </c>
      <c r="N13" s="5">
        <v>75000</v>
      </c>
      <c r="O13" s="6">
        <v>55000</v>
      </c>
      <c r="P13" s="5">
        <f t="shared" si="5"/>
        <v>20000</v>
      </c>
      <c r="Q13" t="s">
        <v>124</v>
      </c>
      <c r="R13" s="7" t="s">
        <v>54</v>
      </c>
      <c r="S13" s="8" t="s">
        <v>142</v>
      </c>
    </row>
    <row r="14" spans="1:23" x14ac:dyDescent="0.3">
      <c r="A14" s="3">
        <v>2411</v>
      </c>
      <c r="B14" s="3" t="s">
        <v>24</v>
      </c>
      <c r="C14" s="3" t="s">
        <v>41</v>
      </c>
      <c r="D14" s="3">
        <v>100</v>
      </c>
      <c r="E14" s="3">
        <v>70</v>
      </c>
      <c r="F14" s="3">
        <f t="shared" si="1"/>
        <v>30</v>
      </c>
      <c r="G14" s="4">
        <f t="shared" si="2"/>
        <v>0.7</v>
      </c>
      <c r="H14" s="11">
        <v>0.875</v>
      </c>
      <c r="I14" s="11">
        <v>0.88700000000000001</v>
      </c>
      <c r="J14" s="11">
        <v>0.879</v>
      </c>
      <c r="K14" s="12">
        <f t="shared" si="3"/>
        <v>0.8803333333333333</v>
      </c>
      <c r="L14" s="3" t="str">
        <f t="shared" si="0"/>
        <v>Very Good</v>
      </c>
      <c r="M14" s="3" t="str">
        <f t="shared" si="4"/>
        <v>⚠ RISK</v>
      </c>
      <c r="N14" s="5">
        <v>75000</v>
      </c>
      <c r="O14" s="6">
        <v>75000</v>
      </c>
      <c r="P14" s="5">
        <f t="shared" si="5"/>
        <v>0</v>
      </c>
      <c r="Q14" t="s">
        <v>125</v>
      </c>
      <c r="R14" s="7" t="s">
        <v>55</v>
      </c>
      <c r="S14" s="8" t="s">
        <v>143</v>
      </c>
    </row>
    <row r="15" spans="1:23" x14ac:dyDescent="0.3">
      <c r="A15" s="3">
        <v>2412</v>
      </c>
      <c r="B15" s="3" t="s">
        <v>25</v>
      </c>
      <c r="C15" s="3" t="s">
        <v>41</v>
      </c>
      <c r="D15" s="3">
        <v>100</v>
      </c>
      <c r="E15" s="3">
        <v>83</v>
      </c>
      <c r="F15" s="3">
        <f t="shared" si="1"/>
        <v>17</v>
      </c>
      <c r="G15" s="4">
        <f t="shared" si="2"/>
        <v>0.83</v>
      </c>
      <c r="H15" s="11">
        <v>0.58599999999999997</v>
      </c>
      <c r="I15" s="11">
        <v>0.59399999999999997</v>
      </c>
      <c r="J15" s="11">
        <v>0.58199999999999996</v>
      </c>
      <c r="K15" s="12">
        <f t="shared" si="3"/>
        <v>0.58733333333333337</v>
      </c>
      <c r="L15" s="3" t="str">
        <f t="shared" si="0"/>
        <v>Poor</v>
      </c>
      <c r="M15" s="3" t="str">
        <f t="shared" si="4"/>
        <v>✅ NO RISK</v>
      </c>
      <c r="N15" s="5">
        <v>75000</v>
      </c>
      <c r="O15" s="6">
        <v>30000</v>
      </c>
      <c r="P15" s="5">
        <f t="shared" si="5"/>
        <v>45000</v>
      </c>
      <c r="Q15" t="s">
        <v>126</v>
      </c>
      <c r="R15" s="7" t="s">
        <v>56</v>
      </c>
      <c r="S15" s="8" t="s">
        <v>144</v>
      </c>
    </row>
    <row r="16" spans="1:23" x14ac:dyDescent="0.3">
      <c r="A16" s="3">
        <v>2413</v>
      </c>
      <c r="B16" s="3" t="s">
        <v>26</v>
      </c>
      <c r="C16" s="3" t="s">
        <v>42</v>
      </c>
      <c r="D16" s="3">
        <v>100</v>
      </c>
      <c r="E16" s="3">
        <v>75</v>
      </c>
      <c r="F16" s="3">
        <f t="shared" si="1"/>
        <v>25</v>
      </c>
      <c r="G16" s="4">
        <f t="shared" si="2"/>
        <v>0.75</v>
      </c>
      <c r="H16" s="11">
        <v>0.79300000000000004</v>
      </c>
      <c r="I16" s="11">
        <v>0.80800000000000005</v>
      </c>
      <c r="J16" s="11">
        <v>0.79600000000000004</v>
      </c>
      <c r="K16" s="12">
        <f t="shared" si="3"/>
        <v>0.79900000000000004</v>
      </c>
      <c r="L16" s="3" t="str">
        <f t="shared" si="0"/>
        <v>Good</v>
      </c>
      <c r="M16" s="3" t="str">
        <f t="shared" si="4"/>
        <v>✅ NO RISK</v>
      </c>
      <c r="N16" s="5">
        <v>75000</v>
      </c>
      <c r="O16" s="6">
        <v>75000</v>
      </c>
      <c r="P16" s="5">
        <f t="shared" si="5"/>
        <v>0</v>
      </c>
      <c r="Q16" t="s">
        <v>126</v>
      </c>
      <c r="R16" s="7" t="s">
        <v>57</v>
      </c>
      <c r="S16" s="8" t="s">
        <v>145</v>
      </c>
    </row>
    <row r="17" spans="1:19" x14ac:dyDescent="0.3">
      <c r="A17" s="3">
        <v>2414</v>
      </c>
      <c r="B17" s="3" t="s">
        <v>27</v>
      </c>
      <c r="C17" s="3" t="s">
        <v>41</v>
      </c>
      <c r="D17" s="3">
        <v>100</v>
      </c>
      <c r="E17" s="3">
        <v>91</v>
      </c>
      <c r="F17" s="3">
        <f t="shared" si="1"/>
        <v>9</v>
      </c>
      <c r="G17" s="4">
        <f t="shared" si="2"/>
        <v>0.91</v>
      </c>
      <c r="H17" s="11">
        <v>0.90800000000000003</v>
      </c>
      <c r="I17" s="11">
        <v>0.91500000000000004</v>
      </c>
      <c r="J17" s="11">
        <v>0.90700000000000003</v>
      </c>
      <c r="K17" s="12">
        <f t="shared" si="3"/>
        <v>0.91</v>
      </c>
      <c r="L17" s="3" t="str">
        <f t="shared" si="0"/>
        <v>Excellent</v>
      </c>
      <c r="M17" s="3" t="str">
        <f t="shared" si="4"/>
        <v>✅ NO RISK</v>
      </c>
      <c r="N17" s="5">
        <v>75000</v>
      </c>
      <c r="O17" s="6">
        <v>75000</v>
      </c>
      <c r="P17" s="5">
        <f t="shared" si="5"/>
        <v>0</v>
      </c>
      <c r="Q17" t="s">
        <v>127</v>
      </c>
      <c r="R17" s="7" t="s">
        <v>58</v>
      </c>
      <c r="S17" s="8" t="s">
        <v>146</v>
      </c>
    </row>
    <row r="18" spans="1:19" x14ac:dyDescent="0.3">
      <c r="A18" s="3">
        <v>2415</v>
      </c>
      <c r="B18" s="3" t="s">
        <v>28</v>
      </c>
      <c r="C18" s="3" t="s">
        <v>42</v>
      </c>
      <c r="D18" s="3">
        <v>100</v>
      </c>
      <c r="E18" s="3">
        <v>66</v>
      </c>
      <c r="F18" s="3">
        <f t="shared" si="1"/>
        <v>34</v>
      </c>
      <c r="G18" s="4">
        <f t="shared" si="2"/>
        <v>0.66</v>
      </c>
      <c r="H18" s="11">
        <v>0.71899999999999997</v>
      </c>
      <c r="I18" s="11">
        <v>0.72599999999999998</v>
      </c>
      <c r="J18" s="11">
        <v>0.72099999999999997</v>
      </c>
      <c r="K18" s="12">
        <f t="shared" si="3"/>
        <v>0.72199999999999998</v>
      </c>
      <c r="L18" s="3" t="str">
        <f t="shared" si="0"/>
        <v>Good</v>
      </c>
      <c r="M18" s="3" t="str">
        <f t="shared" si="4"/>
        <v>⚠ RISK</v>
      </c>
      <c r="N18" s="5">
        <v>75000</v>
      </c>
      <c r="O18" s="6">
        <v>50000</v>
      </c>
      <c r="P18" s="5">
        <f t="shared" si="5"/>
        <v>25000</v>
      </c>
      <c r="Q18" t="s">
        <v>128</v>
      </c>
      <c r="R18" s="7" t="s">
        <v>59</v>
      </c>
      <c r="S18" s="8" t="s">
        <v>147</v>
      </c>
    </row>
    <row r="19" spans="1:19" x14ac:dyDescent="0.3">
      <c r="A19" s="3">
        <v>2416</v>
      </c>
      <c r="B19" s="3" t="s">
        <v>29</v>
      </c>
      <c r="C19" s="3" t="s">
        <v>41</v>
      </c>
      <c r="D19" s="3">
        <v>100</v>
      </c>
      <c r="E19" s="3">
        <v>88</v>
      </c>
      <c r="F19" s="3">
        <f t="shared" si="1"/>
        <v>12</v>
      </c>
      <c r="G19" s="4">
        <f t="shared" si="2"/>
        <v>0.88</v>
      </c>
      <c r="H19" s="11">
        <v>0.624</v>
      </c>
      <c r="I19" s="11">
        <v>0.63900000000000001</v>
      </c>
      <c r="J19" s="11">
        <v>0.628</v>
      </c>
      <c r="K19" s="12">
        <f t="shared" si="3"/>
        <v>0.6303333333333333</v>
      </c>
      <c r="L19" s="3" t="str">
        <f t="shared" si="0"/>
        <v>Average</v>
      </c>
      <c r="M19" s="3" t="str">
        <f t="shared" si="4"/>
        <v>✅ NO RISK</v>
      </c>
      <c r="N19" s="5">
        <v>75000</v>
      </c>
      <c r="O19" s="6">
        <v>65000</v>
      </c>
      <c r="P19" s="5">
        <f t="shared" si="5"/>
        <v>10000</v>
      </c>
      <c r="Q19" t="s">
        <v>129</v>
      </c>
      <c r="R19" s="7" t="s">
        <v>60</v>
      </c>
      <c r="S19" s="8" t="s">
        <v>148</v>
      </c>
    </row>
    <row r="20" spans="1:19" x14ac:dyDescent="0.3">
      <c r="A20" s="3">
        <v>2417</v>
      </c>
      <c r="B20" s="3" t="s">
        <v>30</v>
      </c>
      <c r="C20" s="3" t="s">
        <v>42</v>
      </c>
      <c r="D20" s="3">
        <v>100</v>
      </c>
      <c r="E20" s="3">
        <v>79</v>
      </c>
      <c r="F20" s="3">
        <f t="shared" si="1"/>
        <v>21</v>
      </c>
      <c r="G20" s="4">
        <f t="shared" si="2"/>
        <v>0.79</v>
      </c>
      <c r="H20" s="11">
        <v>0.85699999999999998</v>
      </c>
      <c r="I20" s="11">
        <v>0.86299999999999999</v>
      </c>
      <c r="J20" s="11">
        <v>0.85299999999999998</v>
      </c>
      <c r="K20" s="12">
        <f t="shared" si="3"/>
        <v>0.85766666666666669</v>
      </c>
      <c r="L20" s="3" t="str">
        <f t="shared" si="0"/>
        <v>Very Good</v>
      </c>
      <c r="M20" s="3" t="str">
        <f t="shared" si="4"/>
        <v>✅ NO RISK</v>
      </c>
      <c r="N20" s="5">
        <v>75000</v>
      </c>
      <c r="O20" s="6">
        <v>75000</v>
      </c>
      <c r="P20" s="5">
        <f t="shared" si="5"/>
        <v>0</v>
      </c>
      <c r="Q20" t="s">
        <v>130</v>
      </c>
      <c r="R20" s="7" t="s">
        <v>61</v>
      </c>
      <c r="S20" s="8" t="s">
        <v>141</v>
      </c>
    </row>
    <row r="21" spans="1:19" x14ac:dyDescent="0.3">
      <c r="A21" s="3">
        <v>2418</v>
      </c>
      <c r="B21" s="3" t="s">
        <v>31</v>
      </c>
      <c r="C21" s="3" t="s">
        <v>42</v>
      </c>
      <c r="D21" s="3">
        <v>100</v>
      </c>
      <c r="E21" s="3">
        <v>93</v>
      </c>
      <c r="F21" s="3">
        <f t="shared" si="1"/>
        <v>7</v>
      </c>
      <c r="G21" s="4">
        <f t="shared" si="2"/>
        <v>0.93</v>
      </c>
      <c r="H21" s="11">
        <v>0.54800000000000004</v>
      </c>
      <c r="I21" s="11">
        <v>0.55700000000000005</v>
      </c>
      <c r="J21" s="11">
        <v>0.54900000000000004</v>
      </c>
      <c r="K21" s="12">
        <f t="shared" si="3"/>
        <v>0.55133333333333334</v>
      </c>
      <c r="L21" s="3" t="str">
        <f t="shared" si="0"/>
        <v>Poor</v>
      </c>
      <c r="M21" s="3" t="str">
        <f t="shared" si="4"/>
        <v>✅ NO RISK</v>
      </c>
      <c r="N21" s="5">
        <v>75000</v>
      </c>
      <c r="O21" s="6">
        <v>25000</v>
      </c>
      <c r="P21" s="5">
        <f t="shared" si="5"/>
        <v>50000</v>
      </c>
      <c r="Q21" t="s">
        <v>131</v>
      </c>
      <c r="R21" s="7" t="s">
        <v>62</v>
      </c>
      <c r="S21" s="8" t="s">
        <v>142</v>
      </c>
    </row>
    <row r="22" spans="1:19" x14ac:dyDescent="0.3">
      <c r="A22" s="3">
        <v>2419</v>
      </c>
      <c r="B22" s="3" t="s">
        <v>32</v>
      </c>
      <c r="C22" s="3" t="s">
        <v>42</v>
      </c>
      <c r="D22" s="3">
        <v>100</v>
      </c>
      <c r="E22" s="3">
        <v>82</v>
      </c>
      <c r="F22" s="3">
        <f t="shared" si="1"/>
        <v>18</v>
      </c>
      <c r="G22" s="4">
        <f t="shared" si="2"/>
        <v>0.82</v>
      </c>
      <c r="H22" s="11">
        <v>0.80600000000000005</v>
      </c>
      <c r="I22" s="11">
        <v>0.81399999999999995</v>
      </c>
      <c r="J22" s="11">
        <v>0.80400000000000005</v>
      </c>
      <c r="K22" s="12">
        <f t="shared" si="3"/>
        <v>0.80800000000000016</v>
      </c>
      <c r="L22" s="3" t="str">
        <f t="shared" si="0"/>
        <v>Very Good</v>
      </c>
      <c r="M22" s="3" t="str">
        <f t="shared" si="4"/>
        <v>✅ NO RISK</v>
      </c>
      <c r="N22" s="5">
        <v>75000</v>
      </c>
      <c r="O22" s="6">
        <v>75000</v>
      </c>
      <c r="P22" s="5">
        <f t="shared" si="5"/>
        <v>0</v>
      </c>
      <c r="Q22" t="s">
        <v>132</v>
      </c>
      <c r="R22" s="7" t="s">
        <v>63</v>
      </c>
      <c r="S22" s="8" t="s">
        <v>143</v>
      </c>
    </row>
    <row r="23" spans="1:19" x14ac:dyDescent="0.3">
      <c r="A23" s="3">
        <v>2420</v>
      </c>
      <c r="B23" s="3" t="s">
        <v>33</v>
      </c>
      <c r="C23" s="3" t="s">
        <v>41</v>
      </c>
      <c r="D23" s="3">
        <v>100</v>
      </c>
      <c r="E23" s="3">
        <v>74</v>
      </c>
      <c r="F23" s="3">
        <f t="shared" si="1"/>
        <v>26</v>
      </c>
      <c r="G23" s="4">
        <f t="shared" si="2"/>
        <v>0.74</v>
      </c>
      <c r="H23" s="11">
        <v>0.68100000000000005</v>
      </c>
      <c r="I23" s="11">
        <v>0.69199999999999995</v>
      </c>
      <c r="J23" s="11">
        <v>0.68700000000000006</v>
      </c>
      <c r="K23" s="12">
        <f t="shared" si="3"/>
        <v>0.68666666666666665</v>
      </c>
      <c r="L23" s="3" t="str">
        <f t="shared" si="0"/>
        <v>Average</v>
      </c>
      <c r="M23" s="3" t="str">
        <f t="shared" si="4"/>
        <v>⚠ RISK</v>
      </c>
      <c r="N23" s="5">
        <v>75000</v>
      </c>
      <c r="O23" s="6">
        <v>60000</v>
      </c>
      <c r="P23" s="5">
        <f t="shared" si="5"/>
        <v>15000</v>
      </c>
      <c r="Q23" t="s">
        <v>133</v>
      </c>
      <c r="R23" s="7" t="s">
        <v>64</v>
      </c>
      <c r="S23" s="8" t="s">
        <v>144</v>
      </c>
    </row>
    <row r="24" spans="1:19" x14ac:dyDescent="0.3">
      <c r="A24" s="3">
        <v>2421</v>
      </c>
      <c r="B24" s="3" t="s">
        <v>34</v>
      </c>
      <c r="C24" s="3" t="s">
        <v>41</v>
      </c>
      <c r="D24" s="3">
        <v>100</v>
      </c>
      <c r="E24" s="3">
        <v>90</v>
      </c>
      <c r="F24" s="3">
        <f t="shared" si="1"/>
        <v>10</v>
      </c>
      <c r="G24" s="4">
        <f t="shared" si="2"/>
        <v>0.9</v>
      </c>
      <c r="H24" s="11">
        <v>0.93200000000000005</v>
      </c>
      <c r="I24" s="11">
        <v>0.93799999999999994</v>
      </c>
      <c r="J24" s="11">
        <v>0.92600000000000005</v>
      </c>
      <c r="K24" s="12">
        <f t="shared" si="3"/>
        <v>0.93200000000000005</v>
      </c>
      <c r="L24" s="3" t="str">
        <f t="shared" si="0"/>
        <v>Excellent</v>
      </c>
      <c r="M24" s="3" t="str">
        <f t="shared" si="4"/>
        <v>✅ NO RISK</v>
      </c>
      <c r="N24" s="5">
        <v>75000</v>
      </c>
      <c r="O24" s="6">
        <v>75000</v>
      </c>
      <c r="P24" s="5">
        <f t="shared" si="5"/>
        <v>0</v>
      </c>
      <c r="Q24" t="s">
        <v>134</v>
      </c>
      <c r="R24" s="7" t="s">
        <v>65</v>
      </c>
      <c r="S24" s="8" t="s">
        <v>145</v>
      </c>
    </row>
    <row r="25" spans="1:19" x14ac:dyDescent="0.3">
      <c r="A25" s="3">
        <v>2422</v>
      </c>
      <c r="B25" s="3" t="s">
        <v>35</v>
      </c>
      <c r="C25" s="3" t="s">
        <v>42</v>
      </c>
      <c r="D25" s="3">
        <v>100</v>
      </c>
      <c r="E25" s="3">
        <v>85</v>
      </c>
      <c r="F25" s="3">
        <f t="shared" si="1"/>
        <v>15</v>
      </c>
      <c r="G25" s="4">
        <f t="shared" si="2"/>
        <v>0.85</v>
      </c>
      <c r="H25" s="11">
        <v>0.495</v>
      </c>
      <c r="I25" s="11">
        <v>0.48599999999999999</v>
      </c>
      <c r="J25" s="11">
        <v>0.47499999999999998</v>
      </c>
      <c r="K25" s="12">
        <f t="shared" si="3"/>
        <v>0.48533333333333334</v>
      </c>
      <c r="L25" s="3" t="str">
        <f t="shared" si="0"/>
        <v>Poor</v>
      </c>
      <c r="M25" s="3" t="str">
        <f t="shared" si="4"/>
        <v>⚠ RISK</v>
      </c>
      <c r="N25" s="5">
        <v>75000</v>
      </c>
      <c r="O25" s="6">
        <v>20000</v>
      </c>
      <c r="P25" s="5">
        <f t="shared" si="5"/>
        <v>55000</v>
      </c>
      <c r="Q25" t="s">
        <v>135</v>
      </c>
      <c r="R25" s="7" t="s">
        <v>44</v>
      </c>
      <c r="S25" s="8" t="s">
        <v>146</v>
      </c>
    </row>
    <row r="26" spans="1:19" x14ac:dyDescent="0.3">
      <c r="A26" s="3">
        <v>2423</v>
      </c>
      <c r="B26" s="3" t="s">
        <v>36</v>
      </c>
      <c r="C26" s="3" t="s">
        <v>42</v>
      </c>
      <c r="D26" s="3">
        <v>100</v>
      </c>
      <c r="E26" s="3">
        <v>71</v>
      </c>
      <c r="F26" s="3">
        <f t="shared" si="1"/>
        <v>29</v>
      </c>
      <c r="G26" s="4">
        <f t="shared" si="2"/>
        <v>0.71</v>
      </c>
      <c r="H26" s="11">
        <v>0.75800000000000001</v>
      </c>
      <c r="I26" s="11">
        <v>0.76900000000000002</v>
      </c>
      <c r="J26" s="11">
        <v>0.752</v>
      </c>
      <c r="K26" s="12">
        <f t="shared" si="3"/>
        <v>0.7596666666666666</v>
      </c>
      <c r="L26" s="3" t="str">
        <f t="shared" si="0"/>
        <v>Good</v>
      </c>
      <c r="M26" s="3" t="str">
        <f t="shared" si="4"/>
        <v>⚠ RISK</v>
      </c>
      <c r="N26" s="5">
        <v>75000</v>
      </c>
      <c r="O26" s="6">
        <v>75000</v>
      </c>
      <c r="P26" s="5">
        <f t="shared" si="5"/>
        <v>0</v>
      </c>
      <c r="Q26" t="s">
        <v>136</v>
      </c>
      <c r="R26" s="7" t="s">
        <v>66</v>
      </c>
      <c r="S26" s="8" t="s">
        <v>147</v>
      </c>
    </row>
    <row r="27" spans="1:19" x14ac:dyDescent="0.3">
      <c r="A27" s="3">
        <v>2424</v>
      </c>
      <c r="B27" s="3" t="s">
        <v>37</v>
      </c>
      <c r="C27" s="3" t="s">
        <v>42</v>
      </c>
      <c r="D27" s="3">
        <v>100</v>
      </c>
      <c r="E27" s="3">
        <v>96</v>
      </c>
      <c r="F27" s="3">
        <f t="shared" si="1"/>
        <v>4</v>
      </c>
      <c r="G27" s="4">
        <f t="shared" si="2"/>
        <v>0.96</v>
      </c>
      <c r="H27" s="11">
        <v>0.60299999999999998</v>
      </c>
      <c r="I27" s="11">
        <v>0.61499999999999999</v>
      </c>
      <c r="J27" s="11">
        <v>0.60899999999999999</v>
      </c>
      <c r="K27" s="12">
        <f t="shared" si="3"/>
        <v>0.60899999999999999</v>
      </c>
      <c r="L27" s="3" t="str">
        <f t="shared" si="0"/>
        <v>Average</v>
      </c>
      <c r="M27" s="3" t="str">
        <f t="shared" si="4"/>
        <v>✅ NO RISK</v>
      </c>
      <c r="N27" s="5">
        <v>75000</v>
      </c>
      <c r="O27" s="6">
        <v>45000</v>
      </c>
      <c r="P27" s="5">
        <f t="shared" si="5"/>
        <v>30000</v>
      </c>
      <c r="Q27" t="s">
        <v>137</v>
      </c>
      <c r="R27" s="7" t="s">
        <v>67</v>
      </c>
      <c r="S27" s="8" t="s">
        <v>148</v>
      </c>
    </row>
    <row r="28" spans="1:19" x14ac:dyDescent="0.3">
      <c r="A28" s="3">
        <v>2425</v>
      </c>
      <c r="B28" s="3" t="s">
        <v>38</v>
      </c>
      <c r="C28" s="3" t="s">
        <v>41</v>
      </c>
      <c r="D28" s="3">
        <v>100</v>
      </c>
      <c r="E28" s="3">
        <v>69</v>
      </c>
      <c r="F28" s="3">
        <f t="shared" si="1"/>
        <v>31</v>
      </c>
      <c r="G28" s="4">
        <f t="shared" si="2"/>
        <v>0.69</v>
      </c>
      <c r="H28" s="11">
        <v>0.83899999999999997</v>
      </c>
      <c r="I28" s="11">
        <v>0.84099999999999997</v>
      </c>
      <c r="J28" s="11">
        <v>0.83399999999999996</v>
      </c>
      <c r="K28" s="12">
        <f t="shared" si="3"/>
        <v>0.83799999999999997</v>
      </c>
      <c r="L28" s="3" t="str">
        <f t="shared" si="0"/>
        <v>Very Good</v>
      </c>
      <c r="M28" s="3" t="str">
        <f t="shared" si="4"/>
        <v>⚠ RISK</v>
      </c>
      <c r="N28" s="5">
        <v>75000</v>
      </c>
      <c r="O28" s="6">
        <v>75000</v>
      </c>
      <c r="P28" s="5">
        <f t="shared" si="5"/>
        <v>0</v>
      </c>
      <c r="Q28" t="s">
        <v>138</v>
      </c>
      <c r="R28" s="7" t="s">
        <v>68</v>
      </c>
      <c r="S28" s="8" t="s">
        <v>141</v>
      </c>
    </row>
    <row r="29" spans="1:19" x14ac:dyDescent="0.3">
      <c r="A29" s="3">
        <v>2426</v>
      </c>
      <c r="B29" s="3" t="s">
        <v>39</v>
      </c>
      <c r="C29" s="3" t="s">
        <v>42</v>
      </c>
      <c r="D29" s="3">
        <v>100</v>
      </c>
      <c r="E29" s="3">
        <v>87</v>
      </c>
      <c r="F29" s="3">
        <f t="shared" si="1"/>
        <v>13</v>
      </c>
      <c r="G29" s="4">
        <f t="shared" si="2"/>
        <v>0.87</v>
      </c>
      <c r="H29" s="11">
        <v>0.57199999999999995</v>
      </c>
      <c r="I29" s="11">
        <v>0.56299999999999994</v>
      </c>
      <c r="J29" s="11">
        <v>0.56100000000000005</v>
      </c>
      <c r="K29" s="12">
        <f t="shared" si="3"/>
        <v>0.56533333333333324</v>
      </c>
      <c r="L29" s="3" t="str">
        <f t="shared" si="0"/>
        <v>Poor</v>
      </c>
      <c r="M29" s="3" t="str">
        <f t="shared" si="4"/>
        <v>✅ NO RISK</v>
      </c>
      <c r="N29" s="5">
        <v>75000</v>
      </c>
      <c r="O29" s="6">
        <v>35000</v>
      </c>
      <c r="P29" s="5">
        <f t="shared" si="5"/>
        <v>40000</v>
      </c>
      <c r="Q29" t="s">
        <v>139</v>
      </c>
      <c r="R29" s="7" t="s">
        <v>43</v>
      </c>
      <c r="S29" s="8" t="s">
        <v>142</v>
      </c>
    </row>
    <row r="30" spans="1:19" x14ac:dyDescent="0.3">
      <c r="A30" s="3">
        <v>2427</v>
      </c>
      <c r="B30" s="3" t="s">
        <v>40</v>
      </c>
      <c r="C30" s="3" t="s">
        <v>41</v>
      </c>
      <c r="D30" s="3">
        <v>100</v>
      </c>
      <c r="E30" s="3">
        <v>73</v>
      </c>
      <c r="F30" s="3">
        <f>(D30-E30)</f>
        <v>27</v>
      </c>
      <c r="G30" s="4">
        <f t="shared" si="2"/>
        <v>0.73</v>
      </c>
      <c r="H30" s="11">
        <v>0.66700000000000004</v>
      </c>
      <c r="I30" s="11">
        <v>0.67800000000000005</v>
      </c>
      <c r="J30" s="11">
        <v>0.66500000000000004</v>
      </c>
      <c r="K30" s="12">
        <f t="shared" si="3"/>
        <v>0.67</v>
      </c>
      <c r="L30" s="3" t="str">
        <f t="shared" si="0"/>
        <v>Average</v>
      </c>
      <c r="M30" s="3" t="str">
        <f t="shared" si="4"/>
        <v>⚠ RISK</v>
      </c>
      <c r="N30" s="5">
        <v>75000</v>
      </c>
      <c r="O30" s="6">
        <v>55000</v>
      </c>
      <c r="P30" s="5">
        <f t="shared" si="5"/>
        <v>20000</v>
      </c>
      <c r="Q30" t="s">
        <v>140</v>
      </c>
      <c r="R30" s="7" t="s">
        <v>94</v>
      </c>
      <c r="S30" s="8" t="s">
        <v>141</v>
      </c>
    </row>
    <row r="31" spans="1:19" x14ac:dyDescent="0.3">
      <c r="R31" s="1"/>
      <c r="S31" s="32"/>
    </row>
  </sheetData>
  <mergeCells count="1">
    <mergeCell ref="A1:S2"/>
  </mergeCells>
  <conditionalFormatting sqref="A1:S2 G3:G1048576 J3:J1048576">
    <cfRule type="top10" dxfId="2" priority="1" percent="1" rank="15"/>
  </conditionalFormatting>
  <conditionalFormatting sqref="L1:L1048576">
    <cfRule type="top10" dxfId="1" priority="2" rank="5"/>
  </conditionalFormatting>
  <conditionalFormatting sqref="M1:M1048576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M4:M30">
    <cfRule type="iconSet" priority="6">
      <iconSet iconSet="3Symbols">
        <cfvo type="percent" val="0"/>
        <cfvo type="percent" val="33"/>
        <cfvo type="percent" val="67"/>
      </iconSet>
    </cfRule>
  </conditionalFormatting>
  <hyperlinks>
    <hyperlink ref="R4" r:id="rId1" xr:uid="{4F4EB71E-945E-46A8-94B2-768DD94A9A2D}"/>
    <hyperlink ref="R5" r:id="rId2" display="mailto:aadhya.csc2401@gmail.com" xr:uid="{76E58A04-0A50-43A3-ABAA-AB3A09EA8E96}"/>
    <hyperlink ref="R6" r:id="rId3" display="mailto:aadvik.csc2402@gmail.com" xr:uid="{60231333-5793-4DEC-ACE1-918316A26D44}"/>
    <hyperlink ref="R7" r:id="rId4" display="mailto:abhinav.csc2403@gmail.com" xr:uid="{0FDD6106-4EAE-4A33-991E-5C2EE76C7BB3}"/>
    <hyperlink ref="R8" r:id="rId5" display="mailto:aditi.csc2404@gmail.com" xr:uid="{232002F1-91E6-43FC-BAC4-7053425002E7}"/>
    <hyperlink ref="R9" r:id="rId6" display="mailto:advait.csc2405@gmail.com" xr:uid="{0E9A5CB5-AD3D-4290-8069-1BD45B4095D7}"/>
    <hyperlink ref="R10" r:id="rId7" display="mailto:akshara.csc2406@gmail.com" xr:uid="{B630FE19-6721-46B9-9AC0-C742FAF3E339}"/>
    <hyperlink ref="R11" r:id="rId8" display="mailto:amara.csc2407@gmail.com" xr:uid="{85DC55AC-C345-42DF-AEDE-47F045A76672}"/>
    <hyperlink ref="R12" r:id="rId9" display="mailto:ananya.csc2408@gmail.com" xr:uid="{5B6FD287-E167-42A8-856D-599D2BAA133C}"/>
    <hyperlink ref="R13" r:id="rId10" display="mailto:anvitha.csc2409@gmail.com" xr:uid="{D60F1BA3-7454-4358-808E-E9AEAE82568A}"/>
    <hyperlink ref="R14" r:id="rId11" display="mailto:arjun.csc2410@gmail.com" xr:uid="{A2ADEACD-4B36-4269-A32D-6E48015FC23A}"/>
    <hyperlink ref="R15" r:id="rId12" display="mailto:avyan.csc2411@gmail.com" xr:uid="{EBC60153-56BC-4DAE-9C7B-E8C3D58B7965}"/>
    <hyperlink ref="R16" r:id="rId13" display="mailto:bheem.csc2412@gmail.com" xr:uid="{E845D084-CF2F-4CE3-B95A-29927FDB1D78}"/>
    <hyperlink ref="R17" r:id="rId14" display="mailto:chakri.csc2413@gmail.com" xr:uid="{82A81A82-99B0-46FE-B803-8F7D39F9F659}"/>
    <hyperlink ref="R18" r:id="rId15" display="mailto:chinmayi.csc2414@gmail.com" xr:uid="{9167C950-C534-48FD-A2D5-36AF4AA46454}"/>
    <hyperlink ref="R19" r:id="rId16" display="mailto:deepak.csc2415@gmail.com" xr:uid="{EB577F86-145F-4701-A39F-CC91A4E42C63}"/>
    <hyperlink ref="R20" r:id="rId17" display="mailto:diya.csc2416@gmail.com" xr:uid="{CF96547E-C1BC-41A5-BD12-673C71BF6064}"/>
    <hyperlink ref="R21" r:id="rId18" display="mailto:ishaan.csc2417@gmail.com" xr:uid="{2DFA29AD-F0CF-428C-87FA-6BBF4717E345}"/>
    <hyperlink ref="R22" r:id="rId19" display="mailto:karthik.csc2418@gmail.com" xr:uid="{37BDCE03-7394-4E9D-BB1E-FA8CBFFFAD8C}"/>
    <hyperlink ref="R23" r:id="rId20" display="mailto:kavya.csc2419@gmail.com" xr:uid="{DA9835DE-68E5-465C-B0E2-C3D038D299BF}"/>
    <hyperlink ref="R24" r:id="rId21" display="mailto:laya.csc2420@gmail.com" xr:uid="{5781A8F4-719C-4AF7-A374-C70ABE188338}"/>
    <hyperlink ref="R25" r:id="rId22" xr:uid="{94249F77-521F-4B6E-B0B7-5D69D0B3B73D}"/>
    <hyperlink ref="R26" r:id="rId23" display="mailto:pranav.csc2422@gmail.com" xr:uid="{46B1543F-18AE-426E-9983-EC7D4F4F72C8}"/>
    <hyperlink ref="R27" r:id="rId24" display="mailto:prisha.csc2423@gmail.com" xr:uid="{54434628-DA5B-4C07-8525-C77D5011D620}"/>
    <hyperlink ref="R28" r:id="rId25" display="mailto:saanvi.csc2424@gmail.com" xr:uid="{2E1FEBAD-2C93-481D-A8DB-2CC0FEFCF1CE}"/>
    <hyperlink ref="R29" r:id="rId26" xr:uid="{D4667DCD-A0D0-4D2B-B625-03E1838C1EA6}"/>
    <hyperlink ref="R30" r:id="rId27" xr:uid="{DCCE4C9B-1ACD-4100-AC9C-FC57E69ACBF0}"/>
  </hyperlinks>
  <pageMargins left="0.7" right="0.7" top="0.75" bottom="0.75" header="0.3" footer="0.3"/>
  <pageSetup orientation="portrait" r:id="rId2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ACBC8CE2-0904-4521-8059-DA2A844BA689}">
            <xm:f>NOT(ISERROR(SEARCH($M$5,M1)))</xm:f>
            <xm:f>$M$5</xm:f>
            <x14:dxf>
              <font>
                <u/>
              </font>
              <fill>
                <patternFill>
                  <bgColor rgb="FFFF00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M1:M1048576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27848-9685-4D93-A671-972B18B70DC9}">
  <sheetPr codeName="Sheet1">
    <pageSetUpPr fitToPage="1"/>
  </sheetPr>
  <dimension ref="A1:U123"/>
  <sheetViews>
    <sheetView tabSelected="1" topLeftCell="A15" zoomScale="85" zoomScaleNormal="85" workbookViewId="0">
      <selection activeCell="D5" sqref="D5:G7"/>
    </sheetView>
  </sheetViews>
  <sheetFormatPr defaultRowHeight="14.4" x14ac:dyDescent="0.3"/>
  <cols>
    <col min="2" max="2" width="11.33203125" customWidth="1"/>
    <col min="7" max="7" width="9" customWidth="1"/>
    <col min="10" max="10" width="8.88671875" customWidth="1"/>
    <col min="17" max="17" width="11.109375" customWidth="1"/>
    <col min="18" max="21" width="8.88671875" style="173"/>
  </cols>
  <sheetData>
    <row r="1" spans="1:21" ht="14.4" customHeight="1" x14ac:dyDescent="0.3">
      <c r="B1" s="118" t="s">
        <v>70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21"/>
      <c r="R1" s="177"/>
      <c r="S1" s="177"/>
      <c r="T1" s="177"/>
      <c r="U1" s="177"/>
    </row>
    <row r="2" spans="1:21" ht="14.4" customHeight="1" x14ac:dyDescent="0.3">
      <c r="A2" s="24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21"/>
      <c r="R2" s="177"/>
      <c r="S2" s="177"/>
      <c r="T2" s="177"/>
      <c r="U2" s="177"/>
    </row>
    <row r="3" spans="1:21" ht="14.4" customHeight="1" x14ac:dyDescent="0.3">
      <c r="A3" s="24"/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21"/>
      <c r="R3" s="177"/>
      <c r="S3" s="177"/>
      <c r="T3" s="177"/>
      <c r="U3" s="177"/>
    </row>
    <row r="4" spans="1:21" ht="14.4" customHeight="1" thickBot="1" x14ac:dyDescent="0.35">
      <c r="A4" s="24"/>
      <c r="B4" s="118"/>
      <c r="C4" s="118"/>
      <c r="D4" s="119"/>
      <c r="E4" s="119"/>
      <c r="F4" s="119"/>
      <c r="G4" s="119"/>
      <c r="H4" s="118"/>
      <c r="I4" s="118"/>
      <c r="J4" s="118"/>
      <c r="K4" s="118"/>
      <c r="L4" s="118"/>
      <c r="M4" s="118"/>
      <c r="N4" s="118"/>
      <c r="O4" s="118"/>
      <c r="P4" s="118"/>
      <c r="Q4" s="21"/>
      <c r="R4" s="177"/>
      <c r="S4" s="177"/>
      <c r="T4" s="177"/>
      <c r="U4" s="177"/>
    </row>
    <row r="5" spans="1:21" ht="14.4" customHeight="1" x14ac:dyDescent="0.3">
      <c r="B5" s="143">
        <v>2425</v>
      </c>
      <c r="C5" s="144"/>
      <c r="D5" s="94" t="s">
        <v>20</v>
      </c>
      <c r="E5" s="95"/>
      <c r="F5" s="95"/>
      <c r="G5" s="96"/>
      <c r="H5" s="103" t="s">
        <v>83</v>
      </c>
      <c r="I5" s="103"/>
      <c r="J5" s="103"/>
      <c r="K5" s="103"/>
      <c r="L5" s="103"/>
      <c r="M5" s="103"/>
      <c r="N5" s="103"/>
      <c r="O5" s="103"/>
      <c r="P5" s="104"/>
      <c r="Q5" s="179"/>
      <c r="R5" s="178"/>
      <c r="S5" s="178"/>
      <c r="T5" s="178"/>
      <c r="U5" s="178"/>
    </row>
    <row r="6" spans="1:21" ht="14.4" customHeight="1" x14ac:dyDescent="0.3">
      <c r="B6" s="145"/>
      <c r="C6" s="146"/>
      <c r="D6" s="97"/>
      <c r="E6" s="98"/>
      <c r="F6" s="98"/>
      <c r="G6" s="99"/>
      <c r="H6" s="105"/>
      <c r="I6" s="105"/>
      <c r="J6" s="105"/>
      <c r="K6" s="105"/>
      <c r="L6" s="105"/>
      <c r="M6" s="105"/>
      <c r="N6" s="105"/>
      <c r="O6" s="105"/>
      <c r="P6" s="105"/>
      <c r="Q6" s="180"/>
    </row>
    <row r="7" spans="1:21" ht="14.4" customHeight="1" thickBot="1" x14ac:dyDescent="0.35">
      <c r="B7" s="147"/>
      <c r="C7" s="148"/>
      <c r="D7" s="100"/>
      <c r="E7" s="101"/>
      <c r="F7" s="101"/>
      <c r="G7" s="102"/>
      <c r="H7" s="106"/>
      <c r="I7" s="106"/>
      <c r="J7" s="106"/>
      <c r="K7" s="106"/>
      <c r="L7" s="106"/>
      <c r="M7" s="106"/>
      <c r="N7" s="106"/>
      <c r="O7" s="106"/>
      <c r="P7" s="106"/>
      <c r="Q7" s="180"/>
    </row>
    <row r="8" spans="1:21" ht="14.4" customHeight="1" thickBot="1" x14ac:dyDescent="0.35">
      <c r="B8" s="115"/>
      <c r="C8" s="116"/>
      <c r="D8" s="60"/>
      <c r="E8" s="60"/>
      <c r="F8" s="60"/>
      <c r="G8" s="117"/>
      <c r="H8" s="107" t="str">
        <f>IF(OR(C38&lt;55%,D30&lt;75%), "⚠ RISK", "✅ NO RISK")</f>
        <v>✅ NO RISK</v>
      </c>
      <c r="I8" s="108"/>
      <c r="J8" s="108"/>
      <c r="K8" s="108"/>
      <c r="L8" s="108"/>
      <c r="M8" s="108"/>
      <c r="N8" s="108"/>
      <c r="O8" s="108"/>
      <c r="P8" s="108"/>
      <c r="Q8" s="180"/>
    </row>
    <row r="9" spans="1:21" ht="14.4" customHeight="1" x14ac:dyDescent="0.3">
      <c r="B9" s="79" t="s">
        <v>71</v>
      </c>
      <c r="C9" s="80"/>
      <c r="D9" s="80"/>
      <c r="E9" s="80"/>
      <c r="F9" s="80"/>
      <c r="G9" s="81"/>
      <c r="H9" s="109"/>
      <c r="I9" s="109"/>
      <c r="J9" s="109"/>
      <c r="K9" s="109"/>
      <c r="L9" s="109"/>
      <c r="M9" s="109"/>
      <c r="N9" s="109"/>
      <c r="O9" s="109"/>
      <c r="P9" s="109"/>
      <c r="Q9" s="180"/>
    </row>
    <row r="10" spans="1:21" ht="14.4" customHeight="1" x14ac:dyDescent="0.3">
      <c r="B10" s="82"/>
      <c r="C10" s="83"/>
      <c r="D10" s="83"/>
      <c r="E10" s="83"/>
      <c r="F10" s="83"/>
      <c r="G10" s="84"/>
      <c r="H10" s="110"/>
      <c r="I10" s="110"/>
      <c r="J10" s="110"/>
      <c r="K10" s="110"/>
      <c r="L10" s="110"/>
      <c r="M10" s="110"/>
      <c r="N10" s="110"/>
      <c r="O10" s="110"/>
      <c r="P10" s="110"/>
      <c r="Q10" s="180"/>
      <c r="T10" s="174"/>
      <c r="U10" s="174"/>
    </row>
    <row r="11" spans="1:21" ht="14.4" customHeight="1" thickBot="1" x14ac:dyDescent="0.35">
      <c r="B11" s="85"/>
      <c r="C11" s="86"/>
      <c r="D11" s="86"/>
      <c r="E11" s="86"/>
      <c r="F11" s="86"/>
      <c r="G11" s="87"/>
      <c r="H11" s="120"/>
      <c r="I11" s="120"/>
      <c r="J11" s="120"/>
      <c r="K11" s="120"/>
      <c r="L11" s="120"/>
      <c r="M11" s="120"/>
      <c r="N11" s="120"/>
      <c r="O11" s="120"/>
      <c r="P11" s="120"/>
      <c r="Q11" s="180"/>
      <c r="T11" s="175"/>
      <c r="U11" s="175"/>
    </row>
    <row r="12" spans="1:21" ht="25.8" customHeight="1" x14ac:dyDescent="0.3">
      <c r="B12" s="70" t="s">
        <v>72</v>
      </c>
      <c r="C12" s="71"/>
      <c r="D12" s="70" t="str">
        <f>D5</f>
        <v>Amara</v>
      </c>
      <c r="E12" s="76"/>
      <c r="F12" s="76"/>
      <c r="G12" s="71"/>
      <c r="H12" s="111" t="s">
        <v>95</v>
      </c>
      <c r="I12" s="112"/>
      <c r="J12" s="112"/>
      <c r="K12" s="112"/>
      <c r="L12" s="112"/>
      <c r="M12" s="112"/>
      <c r="N12" s="112"/>
      <c r="O12" s="112"/>
      <c r="P12" s="112"/>
      <c r="Q12" s="180"/>
      <c r="T12" s="175"/>
      <c r="U12" s="175"/>
    </row>
    <row r="13" spans="1:21" ht="15.6" customHeight="1" x14ac:dyDescent="0.3">
      <c r="B13" s="72"/>
      <c r="C13" s="73"/>
      <c r="D13" s="72"/>
      <c r="E13" s="77"/>
      <c r="F13" s="77"/>
      <c r="G13" s="73"/>
      <c r="H13" s="113"/>
      <c r="I13" s="114"/>
      <c r="J13" s="114"/>
      <c r="K13" s="114"/>
      <c r="L13" s="114"/>
      <c r="M13" s="114"/>
      <c r="N13" s="114"/>
      <c r="O13" s="114"/>
      <c r="P13" s="114"/>
      <c r="Q13" s="180"/>
      <c r="T13" s="175"/>
      <c r="U13" s="175"/>
    </row>
    <row r="14" spans="1:21" x14ac:dyDescent="0.3">
      <c r="B14" s="74" t="s">
        <v>73</v>
      </c>
      <c r="C14" s="75"/>
      <c r="D14" s="74">
        <f>_xlfn.XLOOKUP($D$5, Students!$B:$B, Students!$A:$A)</f>
        <v>2407</v>
      </c>
      <c r="E14" s="78"/>
      <c r="F14" s="78"/>
      <c r="G14" s="75"/>
      <c r="H14" s="36" t="s">
        <v>84</v>
      </c>
      <c r="I14" s="37"/>
      <c r="J14" s="38"/>
      <c r="K14" s="39" t="str">
        <f>IF(D30&gt;=85%,"Excellent ✓",
IF(D30&gt;=70%,"Good",
IF(D30&gt;=50%,"Average",
"Poor ⚠")))</f>
        <v>Good</v>
      </c>
      <c r="L14" s="40"/>
      <c r="M14" s="40"/>
      <c r="N14" s="40"/>
      <c r="O14" s="40"/>
      <c r="P14" s="40"/>
      <c r="Q14" s="180"/>
    </row>
    <row r="15" spans="1:21" x14ac:dyDescent="0.3">
      <c r="B15" s="72"/>
      <c r="C15" s="73"/>
      <c r="D15" s="72"/>
      <c r="E15" s="77"/>
      <c r="F15" s="77"/>
      <c r="G15" s="73"/>
      <c r="H15" s="41" t="s">
        <v>85</v>
      </c>
      <c r="I15" s="42"/>
      <c r="J15" s="43"/>
      <c r="K15" s="47" t="str">
        <f>IF(D30&gt;=85%,"Excellent",
 IF(D30&gt;=70%,"Very Good",
 IF(D30&gt;=50%,"Average",
 "Poor ⚠")))</f>
        <v>Very Good</v>
      </c>
      <c r="L15" s="48"/>
      <c r="M15" s="48"/>
      <c r="N15" s="48"/>
      <c r="O15" s="48"/>
      <c r="P15" s="48"/>
      <c r="Q15" s="180"/>
    </row>
    <row r="16" spans="1:21" x14ac:dyDescent="0.3">
      <c r="B16" s="74" t="s">
        <v>74</v>
      </c>
      <c r="C16" s="75"/>
      <c r="D16" s="74" t="str">
        <f>_xlfn.XLOOKUP(D5,Students!B4:B30,Students!C4:C30)</f>
        <v>CSC-(A)</v>
      </c>
      <c r="E16" s="78"/>
      <c r="F16" s="78"/>
      <c r="G16" s="75"/>
      <c r="H16" s="44"/>
      <c r="I16" s="45"/>
      <c r="J16" s="46"/>
      <c r="K16" s="49"/>
      <c r="L16" s="50"/>
      <c r="M16" s="50"/>
      <c r="N16" s="50"/>
      <c r="O16" s="50"/>
      <c r="P16" s="50"/>
      <c r="Q16" s="180"/>
    </row>
    <row r="17" spans="2:18" ht="16.2" customHeight="1" x14ac:dyDescent="0.3">
      <c r="B17" s="72"/>
      <c r="C17" s="73"/>
      <c r="D17" s="72"/>
      <c r="E17" s="77"/>
      <c r="F17" s="77"/>
      <c r="G17" s="73"/>
      <c r="H17" s="36" t="s">
        <v>86</v>
      </c>
      <c r="I17" s="37"/>
      <c r="J17" s="38"/>
      <c r="K17" s="39" t="str">
        <f>IF(C47=0,"Paid ✓","Due ⚠")</f>
        <v>Paid ✓</v>
      </c>
      <c r="L17" s="40"/>
      <c r="M17" s="40"/>
      <c r="N17" s="40"/>
      <c r="O17" s="40"/>
      <c r="P17" s="40"/>
      <c r="Q17" s="180"/>
      <c r="R17" s="176"/>
    </row>
    <row r="18" spans="2:18" x14ac:dyDescent="0.3">
      <c r="B18" s="55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180"/>
    </row>
    <row r="19" spans="2:18" x14ac:dyDescent="0.3">
      <c r="B19" s="57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180"/>
    </row>
    <row r="20" spans="2:18" ht="15" thickBot="1" x14ac:dyDescent="0.35">
      <c r="B20" s="57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180"/>
    </row>
    <row r="21" spans="2:18" x14ac:dyDescent="0.3">
      <c r="B21" s="61" t="s">
        <v>96</v>
      </c>
      <c r="C21" s="62"/>
      <c r="D21" s="62"/>
      <c r="E21" s="62"/>
      <c r="F21" s="62"/>
      <c r="G21" s="63"/>
      <c r="Q21" s="180"/>
    </row>
    <row r="22" spans="2:18" x14ac:dyDescent="0.3">
      <c r="B22" s="64"/>
      <c r="C22" s="65"/>
      <c r="D22" s="65"/>
      <c r="E22" s="65"/>
      <c r="F22" s="65"/>
      <c r="G22" s="66"/>
      <c r="Q22" s="180"/>
    </row>
    <row r="23" spans="2:18" ht="15" thickBot="1" x14ac:dyDescent="0.35">
      <c r="B23" s="67"/>
      <c r="C23" s="68"/>
      <c r="D23" s="68"/>
      <c r="E23" s="68"/>
      <c r="F23" s="68"/>
      <c r="G23" s="69"/>
      <c r="Q23" s="180"/>
    </row>
    <row r="24" spans="2:18" x14ac:dyDescent="0.3">
      <c r="B24" s="70" t="s">
        <v>97</v>
      </c>
      <c r="C24" s="71"/>
      <c r="D24" s="70">
        <f>_xlfn.XLOOKUP(D5,Students!B4:B30,Students!D4:D30)</f>
        <v>100</v>
      </c>
      <c r="E24" s="76"/>
      <c r="F24" s="76"/>
      <c r="G24" s="71"/>
      <c r="Q24" s="180"/>
    </row>
    <row r="25" spans="2:18" x14ac:dyDescent="0.3">
      <c r="B25" s="72"/>
      <c r="C25" s="73"/>
      <c r="D25" s="72"/>
      <c r="E25" s="77"/>
      <c r="F25" s="77"/>
      <c r="G25" s="73"/>
      <c r="Q25" s="180"/>
    </row>
    <row r="26" spans="2:18" x14ac:dyDescent="0.3">
      <c r="B26" s="74" t="s">
        <v>98</v>
      </c>
      <c r="C26" s="75"/>
      <c r="D26" s="74">
        <f>_xlfn.XLOOKUP(D5,Students!B4:B30,Students!E4:E30)</f>
        <v>77</v>
      </c>
      <c r="E26" s="78"/>
      <c r="F26" s="78"/>
      <c r="G26" s="75"/>
      <c r="Q26" s="180"/>
    </row>
    <row r="27" spans="2:18" x14ac:dyDescent="0.3">
      <c r="B27" s="72"/>
      <c r="C27" s="73"/>
      <c r="D27" s="72"/>
      <c r="E27" s="77"/>
      <c r="F27" s="77"/>
      <c r="G27" s="73"/>
      <c r="Q27" s="180"/>
    </row>
    <row r="28" spans="2:18" x14ac:dyDescent="0.3">
      <c r="B28" s="74" t="s">
        <v>99</v>
      </c>
      <c r="C28" s="75"/>
      <c r="D28" s="74">
        <f>_xlfn.XLOOKUP(Studence_performnace!D5,Students!B4:B30,Students!F4:F30)</f>
        <v>23</v>
      </c>
      <c r="E28" s="78"/>
      <c r="F28" s="78"/>
      <c r="G28" s="75"/>
      <c r="Q28" s="180"/>
    </row>
    <row r="29" spans="2:18" x14ac:dyDescent="0.3">
      <c r="B29" s="72"/>
      <c r="C29" s="73"/>
      <c r="D29" s="72"/>
      <c r="E29" s="77"/>
      <c r="F29" s="77"/>
      <c r="G29" s="73"/>
      <c r="Q29" s="180"/>
    </row>
    <row r="30" spans="2:18" x14ac:dyDescent="0.3">
      <c r="B30" s="74" t="s">
        <v>100</v>
      </c>
      <c r="C30" s="75"/>
      <c r="D30" s="88">
        <f>_xlfn.XLOOKUP(D5,Students!B4:B30,Students!G4:G30)</f>
        <v>0.77</v>
      </c>
      <c r="E30" s="89"/>
      <c r="F30" s="89"/>
      <c r="G30" s="90"/>
      <c r="Q30" s="180"/>
    </row>
    <row r="31" spans="2:18" x14ac:dyDescent="0.3">
      <c r="B31" s="70"/>
      <c r="C31" s="71"/>
      <c r="D31" s="91"/>
      <c r="E31" s="92"/>
      <c r="F31" s="92"/>
      <c r="G31" s="93"/>
      <c r="Q31" s="180"/>
    </row>
    <row r="32" spans="2:18" x14ac:dyDescent="0.3">
      <c r="B32" s="59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180"/>
    </row>
    <row r="33" spans="1:17" ht="15" thickBot="1" x14ac:dyDescent="0.35">
      <c r="B33" s="59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180"/>
    </row>
    <row r="34" spans="1:17" ht="17.399999999999999" x14ac:dyDescent="0.3">
      <c r="B34" s="27"/>
      <c r="C34" s="51" t="s">
        <v>76</v>
      </c>
      <c r="D34" s="52"/>
      <c r="E34" s="52"/>
      <c r="F34" s="52"/>
      <c r="G34" s="53"/>
      <c r="Q34" s="180"/>
    </row>
    <row r="35" spans="1:17" ht="15.6" x14ac:dyDescent="0.3">
      <c r="A35" s="29"/>
      <c r="B35" s="17" t="s">
        <v>77</v>
      </c>
      <c r="C35" s="54">
        <f>_xlfn.XLOOKUP(Studence_performnace!D5,Students!B4:B30,Students!H4:H30)</f>
        <v>0.84099999999999997</v>
      </c>
      <c r="D35" s="54"/>
      <c r="E35" s="54"/>
      <c r="F35" s="54"/>
      <c r="G35" s="54"/>
      <c r="Q35" s="180"/>
    </row>
    <row r="36" spans="1:17" ht="15.6" x14ac:dyDescent="0.3">
      <c r="B36" s="17" t="s">
        <v>78</v>
      </c>
      <c r="C36" s="54">
        <f>_xlfn.XLOOKUP(Studence_performnace!D5,Students!B4:B30,Students!I4:I30)</f>
        <v>0.85899999999999999</v>
      </c>
      <c r="D36" s="54"/>
      <c r="E36" s="54"/>
      <c r="F36" s="54"/>
      <c r="G36" s="54"/>
      <c r="Q36" s="180"/>
    </row>
    <row r="37" spans="1:17" ht="15.6" x14ac:dyDescent="0.3">
      <c r="B37" s="17" t="s">
        <v>79</v>
      </c>
      <c r="C37" s="54">
        <f>_xlfn.XLOOKUP(D5,Students!B4:B30,Students!J4:J30)</f>
        <v>0.84699999999999998</v>
      </c>
      <c r="D37" s="54"/>
      <c r="E37" s="54"/>
      <c r="F37" s="54"/>
      <c r="G37" s="54"/>
      <c r="Q37" s="180"/>
    </row>
    <row r="38" spans="1:17" ht="15.6" x14ac:dyDescent="0.3">
      <c r="B38" s="17" t="s">
        <v>80</v>
      </c>
      <c r="C38" s="54">
        <f>_xlfn.XLOOKUP(D5,Students!B4:B30,Students!K4:K30)</f>
        <v>0.84899999999999987</v>
      </c>
      <c r="D38" s="54"/>
      <c r="E38" s="54"/>
      <c r="F38" s="54"/>
      <c r="G38" s="54"/>
      <c r="Q38" s="180"/>
    </row>
    <row r="39" spans="1:17" ht="15.6" x14ac:dyDescent="0.3">
      <c r="B39" s="17" t="s">
        <v>81</v>
      </c>
      <c r="C39" s="139" t="str">
        <f>_xlfn.XLOOKUP(Studence_performnace!D5,Students!B4:B30,Students!L4:L30)</f>
        <v>Very Good</v>
      </c>
      <c r="D39" s="139"/>
      <c r="E39" s="139"/>
      <c r="F39" s="139"/>
      <c r="G39" s="139"/>
      <c r="Q39" s="180"/>
    </row>
    <row r="40" spans="1:17" x14ac:dyDescent="0.3">
      <c r="B40" s="59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180"/>
    </row>
    <row r="41" spans="1:17" ht="15" thickBot="1" x14ac:dyDescent="0.35">
      <c r="B41" s="59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180"/>
    </row>
    <row r="42" spans="1:17" ht="18" thickBot="1" x14ac:dyDescent="0.35">
      <c r="B42" s="25"/>
      <c r="C42" s="140" t="s">
        <v>87</v>
      </c>
      <c r="D42" s="141"/>
      <c r="E42" s="141"/>
      <c r="F42" s="141"/>
      <c r="G42" s="142"/>
      <c r="H42" s="26"/>
      <c r="Q42" s="180"/>
    </row>
    <row r="43" spans="1:17" ht="15.6" customHeight="1" x14ac:dyDescent="0.3">
      <c r="B43" s="129" t="s">
        <v>88</v>
      </c>
      <c r="C43" s="137">
        <f>_xlfn.XLOOKUP(D5,Students!B4:B30,Students!N4:N30)</f>
        <v>75000</v>
      </c>
      <c r="D43" s="137"/>
      <c r="E43" s="137"/>
      <c r="F43" s="137"/>
      <c r="G43" s="138"/>
      <c r="H43" s="18"/>
      <c r="Q43" s="180"/>
    </row>
    <row r="44" spans="1:17" ht="14.4" customHeight="1" x14ac:dyDescent="0.3">
      <c r="B44" s="130"/>
      <c r="C44" s="135"/>
      <c r="D44" s="135"/>
      <c r="E44" s="135"/>
      <c r="F44" s="135"/>
      <c r="G44" s="136"/>
      <c r="H44" s="18"/>
      <c r="Q44" s="180"/>
    </row>
    <row r="45" spans="1:17" ht="14.4" customHeight="1" x14ac:dyDescent="0.3">
      <c r="B45" s="131" t="s">
        <v>89</v>
      </c>
      <c r="C45" s="133">
        <f>_xlfn.XLOOKUP(Studence_performnace!D5,Students!B4:B30,Students!O4:O30)</f>
        <v>75000</v>
      </c>
      <c r="D45" s="133"/>
      <c r="E45" s="133"/>
      <c r="F45" s="133"/>
      <c r="G45" s="134"/>
      <c r="H45" s="18"/>
      <c r="Q45" s="180"/>
    </row>
    <row r="46" spans="1:17" ht="15.6" x14ac:dyDescent="0.3">
      <c r="B46" s="130"/>
      <c r="C46" s="135"/>
      <c r="D46" s="135"/>
      <c r="E46" s="135"/>
      <c r="F46" s="135"/>
      <c r="G46" s="136"/>
      <c r="H46" s="19"/>
      <c r="I46" s="23"/>
      <c r="Q46" s="180"/>
    </row>
    <row r="47" spans="1:17" ht="14.4" customHeight="1" x14ac:dyDescent="0.3">
      <c r="B47" s="131" t="s">
        <v>90</v>
      </c>
      <c r="C47" s="133">
        <f>_xlfn.XLOOKUP(Studence_performnace!D5,Students!B4:B30,Students!P4:P30)</f>
        <v>0</v>
      </c>
      <c r="D47" s="133"/>
      <c r="E47" s="133"/>
      <c r="F47" s="133"/>
      <c r="G47" s="134"/>
      <c r="H47" s="22"/>
      <c r="Q47" s="180"/>
    </row>
    <row r="48" spans="1:17" ht="15.6" customHeight="1" thickBot="1" x14ac:dyDescent="0.35">
      <c r="B48" s="132"/>
      <c r="C48" s="137"/>
      <c r="D48" s="137"/>
      <c r="E48" s="137"/>
      <c r="F48" s="137"/>
      <c r="G48" s="138"/>
      <c r="H48" s="28"/>
      <c r="Q48" s="180"/>
    </row>
    <row r="49" spans="2:17" x14ac:dyDescent="0.3">
      <c r="B49" s="121" t="s">
        <v>101</v>
      </c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3"/>
      <c r="Q49" s="181"/>
    </row>
    <row r="50" spans="2:17" x14ac:dyDescent="0.3">
      <c r="B50" s="124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125"/>
      <c r="Q50" s="181"/>
    </row>
    <row r="51" spans="2:17" ht="15" thickBot="1" x14ac:dyDescent="0.35">
      <c r="B51" s="126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8"/>
      <c r="Q51" s="181"/>
    </row>
    <row r="122" spans="1:2" x14ac:dyDescent="0.3">
      <c r="A122" t="s">
        <v>82</v>
      </c>
      <c r="B122">
        <f>Studence_performnace!D26</f>
        <v>77</v>
      </c>
    </row>
    <row r="123" spans="1:2" x14ac:dyDescent="0.3">
      <c r="A123" t="s">
        <v>75</v>
      </c>
      <c r="B123">
        <f>Studence_performnace!D28</f>
        <v>23</v>
      </c>
    </row>
  </sheetData>
  <mergeCells count="48">
    <mergeCell ref="Q6:Q51"/>
    <mergeCell ref="B1:P4"/>
    <mergeCell ref="H11:P11"/>
    <mergeCell ref="B40:P41"/>
    <mergeCell ref="B49:P51"/>
    <mergeCell ref="B43:B44"/>
    <mergeCell ref="B45:B46"/>
    <mergeCell ref="B47:B48"/>
    <mergeCell ref="C45:G46"/>
    <mergeCell ref="C43:G44"/>
    <mergeCell ref="C47:G48"/>
    <mergeCell ref="C37:G37"/>
    <mergeCell ref="C38:G38"/>
    <mergeCell ref="C39:G39"/>
    <mergeCell ref="C42:G42"/>
    <mergeCell ref="B5:C7"/>
    <mergeCell ref="D5:G7"/>
    <mergeCell ref="H5:P7"/>
    <mergeCell ref="H8:P10"/>
    <mergeCell ref="H12:P13"/>
    <mergeCell ref="B8:G8"/>
    <mergeCell ref="D12:G13"/>
    <mergeCell ref="D14:G15"/>
    <mergeCell ref="D16:G17"/>
    <mergeCell ref="B12:C13"/>
    <mergeCell ref="B9:G11"/>
    <mergeCell ref="D30:G31"/>
    <mergeCell ref="B14:C15"/>
    <mergeCell ref="B16:C17"/>
    <mergeCell ref="C34:G34"/>
    <mergeCell ref="C35:G35"/>
    <mergeCell ref="C36:G36"/>
    <mergeCell ref="B18:P20"/>
    <mergeCell ref="B32:P33"/>
    <mergeCell ref="B21:G23"/>
    <mergeCell ref="B24:C25"/>
    <mergeCell ref="B26:C27"/>
    <mergeCell ref="B28:C29"/>
    <mergeCell ref="D24:G25"/>
    <mergeCell ref="D26:G27"/>
    <mergeCell ref="D28:G29"/>
    <mergeCell ref="B30:C31"/>
    <mergeCell ref="H14:J14"/>
    <mergeCell ref="H17:J17"/>
    <mergeCell ref="K14:P14"/>
    <mergeCell ref="K17:P17"/>
    <mergeCell ref="H15:J16"/>
    <mergeCell ref="K15:P16"/>
  </mergeCells>
  <pageMargins left="0.7" right="0.7" top="0.75" bottom="0.75" header="0.3" footer="0.3"/>
  <pageSetup paperSize="9" scale="6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29C6531-5D92-4298-8BBC-62613D0AC9F8}">
          <x14:formula1>
            <xm:f>Students!$B$4:$B$30</xm:f>
          </x14:formula1>
          <xm:sqref>D5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B77A2-1C70-410F-8EB1-AAB6ACA51068}">
  <sheetPr codeName="Sheet3"/>
  <dimension ref="A1:O32"/>
  <sheetViews>
    <sheetView topLeftCell="A4" zoomScale="85" zoomScaleNormal="85" workbookViewId="0">
      <selection activeCell="A34" sqref="A34"/>
    </sheetView>
  </sheetViews>
  <sheetFormatPr defaultRowHeight="14.4" x14ac:dyDescent="0.3"/>
  <cols>
    <col min="1" max="2" width="8.88671875" customWidth="1"/>
    <col min="4" max="7" width="8.88671875" customWidth="1"/>
  </cols>
  <sheetData>
    <row r="1" spans="1:15" ht="14.4" customHeight="1" x14ac:dyDescent="0.3">
      <c r="A1" s="161" t="s">
        <v>102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</row>
    <row r="2" spans="1:15" ht="14.4" customHeight="1" x14ac:dyDescent="0.3">
      <c r="A2" s="161"/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</row>
    <row r="3" spans="1:15" ht="14.4" customHeight="1" x14ac:dyDescent="0.3">
      <c r="A3" s="161"/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</row>
    <row r="5" spans="1:15" x14ac:dyDescent="0.3">
      <c r="A5" s="162" t="s">
        <v>103</v>
      </c>
      <c r="B5" s="162"/>
      <c r="C5" s="162"/>
      <c r="E5" s="162" t="s">
        <v>104</v>
      </c>
      <c r="F5" s="162"/>
      <c r="G5" s="162"/>
      <c r="I5" s="162" t="s">
        <v>105</v>
      </c>
      <c r="J5" s="162"/>
      <c r="L5" s="165" t="s">
        <v>106</v>
      </c>
      <c r="M5" s="165"/>
      <c r="N5" s="165"/>
      <c r="O5" s="165"/>
    </row>
    <row r="6" spans="1:15" x14ac:dyDescent="0.3">
      <c r="A6" s="162"/>
      <c r="B6" s="162"/>
      <c r="C6" s="162"/>
      <c r="E6" s="162"/>
      <c r="F6" s="162"/>
      <c r="G6" s="162"/>
      <c r="I6" s="162"/>
      <c r="J6" s="162"/>
      <c r="L6" s="165"/>
      <c r="M6" s="165"/>
      <c r="N6" s="165"/>
      <c r="O6" s="165"/>
    </row>
    <row r="7" spans="1:15" x14ac:dyDescent="0.3">
      <c r="A7" s="163">
        <f>COUNTA(Students!B4:B30)</f>
        <v>27</v>
      </c>
      <c r="B7" s="163"/>
      <c r="C7" s="163"/>
      <c r="E7" s="164">
        <f>SUM(Students!P4:P30)</f>
        <v>415000</v>
      </c>
      <c r="F7" s="164"/>
      <c r="G7" s="164"/>
      <c r="I7" s="166">
        <f>AVERAGE(Students!G4:G30)</f>
        <v>0.81185185185185194</v>
      </c>
      <c r="J7" s="163"/>
      <c r="L7" s="167">
        <f>COUNTIF(Students!M4:M30,Students!M5)</f>
        <v>10</v>
      </c>
      <c r="M7" s="167"/>
      <c r="N7" s="167"/>
      <c r="O7" s="167"/>
    </row>
    <row r="8" spans="1:15" x14ac:dyDescent="0.3">
      <c r="A8" s="163"/>
      <c r="B8" s="163"/>
      <c r="C8" s="163"/>
      <c r="E8" s="164"/>
      <c r="F8" s="164"/>
      <c r="G8" s="164"/>
      <c r="I8" s="163"/>
      <c r="J8" s="163"/>
      <c r="L8" s="167"/>
      <c r="M8" s="167"/>
      <c r="N8" s="167"/>
      <c r="O8" s="167"/>
    </row>
    <row r="9" spans="1:15" x14ac:dyDescent="0.3">
      <c r="A9" s="163"/>
      <c r="B9" s="163"/>
      <c r="C9" s="163"/>
      <c r="E9" s="164"/>
      <c r="F9" s="164"/>
      <c r="G9" s="164"/>
      <c r="I9" s="163"/>
      <c r="J9" s="163"/>
      <c r="L9" s="167"/>
      <c r="M9" s="167"/>
      <c r="N9" s="167"/>
      <c r="O9" s="167"/>
    </row>
    <row r="10" spans="1:15" x14ac:dyDescent="0.3">
      <c r="A10" s="163"/>
      <c r="B10" s="163"/>
      <c r="C10" s="163"/>
      <c r="E10" s="164"/>
      <c r="F10" s="164"/>
      <c r="G10" s="164"/>
      <c r="I10" s="163"/>
      <c r="J10" s="163"/>
      <c r="L10" s="167"/>
      <c r="M10" s="167"/>
      <c r="N10" s="167"/>
      <c r="O10" s="167"/>
    </row>
    <row r="11" spans="1:15" x14ac:dyDescent="0.3">
      <c r="A11" s="163"/>
      <c r="B11" s="163"/>
      <c r="C11" s="163"/>
      <c r="E11" s="164"/>
      <c r="F11" s="164"/>
      <c r="G11" s="164"/>
      <c r="I11" s="163"/>
      <c r="J11" s="163"/>
      <c r="L11" s="167"/>
      <c r="M11" s="167"/>
      <c r="N11" s="167"/>
      <c r="O11" s="167"/>
    </row>
    <row r="13" spans="1:15" ht="14.4" customHeight="1" x14ac:dyDescent="0.3">
      <c r="A13" s="150" t="s">
        <v>107</v>
      </c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2"/>
    </row>
    <row r="14" spans="1:15" ht="14.4" customHeight="1" x14ac:dyDescent="0.3">
      <c r="A14" s="153"/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5"/>
    </row>
    <row r="15" spans="1:15" ht="14.4" customHeight="1" x14ac:dyDescent="0.3">
      <c r="A15" s="156"/>
      <c r="B15" s="157"/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8"/>
    </row>
    <row r="16" spans="1:15" ht="14.4" customHeight="1" x14ac:dyDescent="0.3">
      <c r="A16" s="159" t="s">
        <v>108</v>
      </c>
      <c r="B16" s="159"/>
      <c r="C16" s="159"/>
      <c r="D16" s="159"/>
      <c r="E16" s="30"/>
      <c r="J16" s="168" t="s">
        <v>109</v>
      </c>
      <c r="K16" s="168"/>
      <c r="L16" s="168"/>
      <c r="M16" s="168"/>
      <c r="N16" s="168"/>
      <c r="O16" s="168"/>
    </row>
    <row r="17" spans="1:15" ht="14.4" customHeight="1" x14ac:dyDescent="0.3">
      <c r="A17" s="160"/>
      <c r="B17" s="160"/>
      <c r="C17" s="160"/>
      <c r="D17" s="160"/>
      <c r="J17" s="169"/>
      <c r="K17" s="169"/>
      <c r="L17" s="169"/>
      <c r="M17" s="169"/>
      <c r="N17" s="169"/>
      <c r="O17" s="169"/>
    </row>
    <row r="18" spans="1:15" ht="14.4" customHeight="1" x14ac:dyDescent="0.3">
      <c r="A18" s="160"/>
      <c r="B18" s="160"/>
      <c r="C18" s="160"/>
      <c r="D18" s="160"/>
      <c r="J18" s="169"/>
      <c r="K18" s="169"/>
      <c r="L18" s="169"/>
      <c r="M18" s="169"/>
      <c r="N18" s="169"/>
      <c r="O18" s="169"/>
    </row>
    <row r="19" spans="1:15" ht="14.4" customHeight="1" x14ac:dyDescent="0.3">
      <c r="A19" s="160"/>
      <c r="B19" s="160"/>
      <c r="C19" s="160"/>
      <c r="D19" s="160"/>
      <c r="J19" s="170" t="s">
        <v>110</v>
      </c>
      <c r="K19" s="170"/>
      <c r="L19" s="170"/>
      <c r="M19" s="170" t="s">
        <v>112</v>
      </c>
      <c r="N19" s="170"/>
      <c r="O19" s="170"/>
    </row>
    <row r="20" spans="1:15" x14ac:dyDescent="0.3">
      <c r="A20" s="170" t="s">
        <v>110</v>
      </c>
      <c r="B20" s="170"/>
      <c r="C20" s="170" t="s">
        <v>111</v>
      </c>
      <c r="D20" s="170"/>
      <c r="J20" s="149" t="s">
        <v>23</v>
      </c>
      <c r="K20" s="149"/>
      <c r="L20" s="149"/>
      <c r="M20" s="172">
        <v>0.98</v>
      </c>
      <c r="N20" s="172"/>
      <c r="O20" s="172"/>
    </row>
    <row r="21" spans="1:15" x14ac:dyDescent="0.3">
      <c r="A21" s="149" t="s">
        <v>14</v>
      </c>
      <c r="B21" s="149"/>
      <c r="C21" s="171">
        <v>0.95430000000000004</v>
      </c>
      <c r="D21" s="171"/>
      <c r="J21" s="149" t="s">
        <v>37</v>
      </c>
      <c r="K21" s="149"/>
      <c r="L21" s="149"/>
      <c r="M21" s="172">
        <v>0.96</v>
      </c>
      <c r="N21" s="172"/>
      <c r="O21" s="172"/>
    </row>
    <row r="22" spans="1:15" x14ac:dyDescent="0.3">
      <c r="A22" s="149" t="s">
        <v>21</v>
      </c>
      <c r="B22" s="149"/>
      <c r="C22" s="171">
        <v>0.93669999999999998</v>
      </c>
      <c r="D22" s="171"/>
      <c r="J22" s="149" t="s">
        <v>16</v>
      </c>
      <c r="K22" s="149"/>
      <c r="L22" s="149"/>
      <c r="M22" s="172">
        <v>0.95</v>
      </c>
      <c r="N22" s="172"/>
      <c r="O22" s="172"/>
    </row>
    <row r="23" spans="1:15" x14ac:dyDescent="0.3">
      <c r="A23" s="149" t="s">
        <v>34</v>
      </c>
      <c r="B23" s="149"/>
      <c r="C23" s="171">
        <v>0.93200000000000005</v>
      </c>
      <c r="D23" s="171"/>
      <c r="J23" s="149" t="s">
        <v>31</v>
      </c>
      <c r="K23" s="149"/>
      <c r="L23" s="149"/>
      <c r="M23" s="172">
        <v>0.93</v>
      </c>
      <c r="N23" s="172"/>
      <c r="O23" s="172"/>
    </row>
    <row r="24" spans="1:15" x14ac:dyDescent="0.3">
      <c r="A24" s="149" t="s">
        <v>17</v>
      </c>
      <c r="B24" s="149"/>
      <c r="C24" s="171">
        <v>0.9173</v>
      </c>
      <c r="D24" s="171"/>
      <c r="J24" s="149" t="s">
        <v>19</v>
      </c>
      <c r="K24" s="149"/>
      <c r="L24" s="149"/>
      <c r="M24" s="172">
        <v>0.92</v>
      </c>
      <c r="N24" s="172"/>
      <c r="O24" s="172"/>
    </row>
    <row r="25" spans="1:15" x14ac:dyDescent="0.3">
      <c r="A25" s="149" t="s">
        <v>27</v>
      </c>
      <c r="B25" s="149"/>
      <c r="C25" s="171">
        <v>0.91</v>
      </c>
      <c r="D25" s="171"/>
    </row>
    <row r="26" spans="1:15" ht="15" thickBot="1" x14ac:dyDescent="0.35"/>
    <row r="27" spans="1:15" x14ac:dyDescent="0.3">
      <c r="A27" s="182" t="s">
        <v>149</v>
      </c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4"/>
    </row>
    <row r="28" spans="1:15" x14ac:dyDescent="0.3">
      <c r="A28" s="185"/>
      <c r="B28" s="186"/>
      <c r="C28" s="186"/>
      <c r="D28" s="186"/>
      <c r="E28" s="186"/>
      <c r="F28" s="186"/>
      <c r="G28" s="186"/>
      <c r="H28" s="186"/>
      <c r="I28" s="186"/>
      <c r="J28" s="186"/>
      <c r="K28" s="186"/>
      <c r="L28" s="186"/>
      <c r="M28" s="186"/>
      <c r="N28" s="186"/>
      <c r="O28" s="187"/>
    </row>
    <row r="29" spans="1:15" x14ac:dyDescent="0.3">
      <c r="A29" s="185"/>
      <c r="B29" s="186"/>
      <c r="C29" s="186"/>
      <c r="D29" s="186"/>
      <c r="E29" s="186"/>
      <c r="F29" s="186"/>
      <c r="G29" s="186"/>
      <c r="H29" s="186"/>
      <c r="I29" s="186"/>
      <c r="J29" s="186"/>
      <c r="K29" s="186"/>
      <c r="L29" s="186"/>
      <c r="M29" s="186"/>
      <c r="N29" s="186"/>
      <c r="O29" s="187"/>
    </row>
    <row r="30" spans="1:15" x14ac:dyDescent="0.3">
      <c r="A30" s="185"/>
      <c r="B30" s="186"/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7"/>
    </row>
    <row r="31" spans="1:15" x14ac:dyDescent="0.3">
      <c r="A31" s="185"/>
      <c r="B31" s="186"/>
      <c r="C31" s="186"/>
      <c r="D31" s="186"/>
      <c r="E31" s="186"/>
      <c r="F31" s="186"/>
      <c r="G31" s="186"/>
      <c r="H31" s="186"/>
      <c r="I31" s="186"/>
      <c r="J31" s="186"/>
      <c r="K31" s="186"/>
      <c r="L31" s="186"/>
      <c r="M31" s="186"/>
      <c r="N31" s="186"/>
      <c r="O31" s="187"/>
    </row>
    <row r="32" spans="1:15" ht="15" thickBot="1" x14ac:dyDescent="0.35">
      <c r="A32" s="188"/>
      <c r="B32" s="189"/>
      <c r="C32" s="189"/>
      <c r="D32" s="189"/>
      <c r="E32" s="189"/>
      <c r="F32" s="189"/>
      <c r="G32" s="189"/>
      <c r="H32" s="189"/>
      <c r="I32" s="189"/>
      <c r="J32" s="189"/>
      <c r="K32" s="189"/>
      <c r="L32" s="189"/>
      <c r="M32" s="189"/>
      <c r="N32" s="189"/>
      <c r="O32" s="190"/>
    </row>
  </sheetData>
  <mergeCells count="37">
    <mergeCell ref="A27:O32"/>
    <mergeCell ref="J23:L23"/>
    <mergeCell ref="J24:L24"/>
    <mergeCell ref="M20:O20"/>
    <mergeCell ref="M21:O21"/>
    <mergeCell ref="M22:O22"/>
    <mergeCell ref="M23:O23"/>
    <mergeCell ref="M24:O24"/>
    <mergeCell ref="A23:B23"/>
    <mergeCell ref="A24:B24"/>
    <mergeCell ref="A25:B25"/>
    <mergeCell ref="J16:O18"/>
    <mergeCell ref="M19:O19"/>
    <mergeCell ref="J19:L19"/>
    <mergeCell ref="J20:L20"/>
    <mergeCell ref="J21:L21"/>
    <mergeCell ref="J22:L22"/>
    <mergeCell ref="C20:D20"/>
    <mergeCell ref="A20:B20"/>
    <mergeCell ref="C21:D21"/>
    <mergeCell ref="C22:D22"/>
    <mergeCell ref="C23:D23"/>
    <mergeCell ref="C24:D24"/>
    <mergeCell ref="C25:D25"/>
    <mergeCell ref="A21:B21"/>
    <mergeCell ref="A22:B22"/>
    <mergeCell ref="A13:O15"/>
    <mergeCell ref="A16:D19"/>
    <mergeCell ref="A1:O3"/>
    <mergeCell ref="A5:C6"/>
    <mergeCell ref="A7:C11"/>
    <mergeCell ref="E5:G6"/>
    <mergeCell ref="E7:G11"/>
    <mergeCell ref="I5:J6"/>
    <mergeCell ref="L5:O6"/>
    <mergeCell ref="I7:J11"/>
    <mergeCell ref="L7:O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01E61-5EF3-4880-AF4D-5C900364C4E1}">
  <dimension ref="A1:K9"/>
  <sheetViews>
    <sheetView workbookViewId="0">
      <selection activeCell="H24" sqref="H24"/>
    </sheetView>
  </sheetViews>
  <sheetFormatPr defaultColWidth="15" defaultRowHeight="22.8" customHeight="1" x14ac:dyDescent="0.3"/>
  <cols>
    <col min="1" max="1" width="16.44140625" bestFit="1" customWidth="1"/>
    <col min="5" max="5" width="17.88671875" customWidth="1"/>
    <col min="7" max="7" width="24.109375" customWidth="1"/>
    <col min="8" max="8" width="23.44140625" customWidth="1"/>
    <col min="9" max="9" width="18.21875" customWidth="1"/>
    <col min="10" max="10" width="16.77734375" customWidth="1"/>
  </cols>
  <sheetData>
    <row r="1" spans="1:11" ht="22.8" customHeight="1" x14ac:dyDescent="0.3">
      <c r="A1" s="201" t="s">
        <v>168</v>
      </c>
      <c r="B1" s="202"/>
      <c r="C1" s="202"/>
      <c r="D1" s="202"/>
      <c r="E1" s="202"/>
      <c r="F1" s="202"/>
      <c r="G1" s="202"/>
      <c r="H1" s="202"/>
      <c r="I1" s="202"/>
      <c r="J1" s="202"/>
      <c r="K1" s="203"/>
    </row>
    <row r="2" spans="1:11" ht="22.8" customHeight="1" x14ac:dyDescent="0.3">
      <c r="A2" s="199"/>
      <c r="B2" s="200"/>
      <c r="C2" s="200"/>
      <c r="D2" s="200"/>
      <c r="E2" s="200"/>
      <c r="F2" s="200"/>
      <c r="G2" s="200"/>
      <c r="H2" s="200"/>
      <c r="I2" s="200"/>
      <c r="J2" s="200"/>
      <c r="K2" s="204"/>
    </row>
    <row r="3" spans="1:11" ht="22.8" customHeight="1" x14ac:dyDescent="0.3">
      <c r="A3" s="199"/>
      <c r="B3" s="200"/>
      <c r="C3" s="200"/>
      <c r="D3" s="200"/>
      <c r="E3" s="200"/>
      <c r="F3" s="200"/>
      <c r="G3" s="200"/>
      <c r="H3" s="200"/>
      <c r="I3" s="200"/>
      <c r="J3" s="200"/>
      <c r="K3" s="204"/>
    </row>
    <row r="4" spans="1:11" s="198" customFormat="1" ht="22.8" customHeight="1" x14ac:dyDescent="0.3">
      <c r="A4" s="205" t="s">
        <v>169</v>
      </c>
      <c r="B4" s="205" t="s">
        <v>170</v>
      </c>
      <c r="C4" s="205" t="s">
        <v>171</v>
      </c>
      <c r="D4" s="205" t="s">
        <v>172</v>
      </c>
      <c r="E4" s="205" t="s">
        <v>173</v>
      </c>
      <c r="F4" s="205" t="s">
        <v>174</v>
      </c>
      <c r="G4" s="205" t="s">
        <v>175</v>
      </c>
      <c r="H4" s="205" t="s">
        <v>176</v>
      </c>
      <c r="I4" s="205" t="s">
        <v>177</v>
      </c>
      <c r="J4" s="205" t="s">
        <v>178</v>
      </c>
      <c r="K4" s="206" t="s">
        <v>179</v>
      </c>
    </row>
    <row r="5" spans="1:11" ht="22.8" customHeight="1" x14ac:dyDescent="0.3">
      <c r="A5" s="191">
        <v>46067.605347222219</v>
      </c>
      <c r="B5" s="192" t="s">
        <v>16</v>
      </c>
      <c r="C5" s="193">
        <v>2403</v>
      </c>
      <c r="D5" s="192" t="s">
        <v>150</v>
      </c>
      <c r="E5" s="193">
        <v>4</v>
      </c>
      <c r="F5" s="192" t="s">
        <v>151</v>
      </c>
      <c r="G5" s="192" t="s">
        <v>94</v>
      </c>
      <c r="H5" s="192" t="s">
        <v>152</v>
      </c>
      <c r="I5" s="192" t="s">
        <v>153</v>
      </c>
      <c r="J5" s="193">
        <v>4</v>
      </c>
      <c r="K5" s="192" t="s">
        <v>180</v>
      </c>
    </row>
    <row r="6" spans="1:11" ht="22.8" customHeight="1" x14ac:dyDescent="0.3">
      <c r="A6" s="194">
        <v>46067.606145833335</v>
      </c>
      <c r="B6" s="195" t="s">
        <v>15</v>
      </c>
      <c r="C6" s="196">
        <v>2402</v>
      </c>
      <c r="D6" s="195" t="s">
        <v>154</v>
      </c>
      <c r="E6" s="196">
        <v>4</v>
      </c>
      <c r="F6" s="195" t="s">
        <v>151</v>
      </c>
      <c r="G6" s="195" t="s">
        <v>155</v>
      </c>
      <c r="H6" s="195" t="s">
        <v>156</v>
      </c>
      <c r="I6" s="195" t="s">
        <v>157</v>
      </c>
      <c r="J6" s="196">
        <v>5</v>
      </c>
      <c r="K6" s="195" t="s">
        <v>181</v>
      </c>
    </row>
    <row r="7" spans="1:11" ht="22.8" customHeight="1" x14ac:dyDescent="0.3">
      <c r="A7" s="191">
        <v>46067.607118055559</v>
      </c>
      <c r="B7" s="192" t="s">
        <v>158</v>
      </c>
      <c r="C7" s="193">
        <v>2403</v>
      </c>
      <c r="D7" s="192" t="s">
        <v>159</v>
      </c>
      <c r="E7" s="193">
        <v>4</v>
      </c>
      <c r="F7" s="192" t="s">
        <v>151</v>
      </c>
      <c r="G7" s="192" t="s">
        <v>45</v>
      </c>
      <c r="H7" s="192" t="s">
        <v>160</v>
      </c>
      <c r="I7" s="192" t="s">
        <v>153</v>
      </c>
      <c r="J7" s="193">
        <v>3</v>
      </c>
      <c r="K7" s="192" t="s">
        <v>181</v>
      </c>
    </row>
    <row r="8" spans="1:11" ht="22.8" customHeight="1" x14ac:dyDescent="0.3">
      <c r="A8" s="194">
        <v>46067.607974537037</v>
      </c>
      <c r="B8" s="195" t="s">
        <v>161</v>
      </c>
      <c r="C8" s="196">
        <v>2403</v>
      </c>
      <c r="D8" s="195" t="s">
        <v>162</v>
      </c>
      <c r="E8" s="196">
        <v>4</v>
      </c>
      <c r="F8" s="195" t="s">
        <v>163</v>
      </c>
      <c r="G8" s="195" t="s">
        <v>164</v>
      </c>
      <c r="H8" s="197" t="s">
        <v>183</v>
      </c>
      <c r="I8" s="197" t="s">
        <v>184</v>
      </c>
      <c r="J8" s="197">
        <v>5</v>
      </c>
      <c r="K8" s="3" t="s">
        <v>180</v>
      </c>
    </row>
    <row r="9" spans="1:11" ht="22.8" customHeight="1" x14ac:dyDescent="0.3">
      <c r="A9" s="191">
        <v>46067.608020833337</v>
      </c>
      <c r="B9" s="192" t="s">
        <v>40</v>
      </c>
      <c r="C9" s="193">
        <v>2417</v>
      </c>
      <c r="D9" s="192" t="s">
        <v>165</v>
      </c>
      <c r="E9" s="193">
        <v>4</v>
      </c>
      <c r="F9" s="192" t="s">
        <v>151</v>
      </c>
      <c r="G9" s="192" t="s">
        <v>44</v>
      </c>
      <c r="H9" s="192" t="s">
        <v>166</v>
      </c>
      <c r="I9" s="192" t="s">
        <v>167</v>
      </c>
      <c r="J9" s="193">
        <v>3</v>
      </c>
      <c r="K9" s="192" t="s">
        <v>182</v>
      </c>
    </row>
  </sheetData>
  <mergeCells count="1">
    <mergeCell ref="A1:K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244143-D9E3-40B1-9F85-EA370AAAF3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Students</vt:lpstr>
      <vt:lpstr>Studence_performnace</vt:lpstr>
      <vt:lpstr>COllege</vt:lpstr>
      <vt:lpstr>Sheet1</vt:lpstr>
      <vt:lpstr>Studence_performnace!Print_Area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siddu v</dc:creator>
  <cp:lastModifiedBy>siddu v</cp:lastModifiedBy>
  <cp:lastPrinted>2026-02-11T16:50:30Z</cp:lastPrinted>
  <dcterms:created xsi:type="dcterms:W3CDTF">2026-02-08T05:38:56Z</dcterms:created>
  <dcterms:modified xsi:type="dcterms:W3CDTF">2026-02-14T10:23:52Z</dcterms:modified>
</cp:coreProperties>
</file>